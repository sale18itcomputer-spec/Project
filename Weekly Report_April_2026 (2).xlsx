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SUS\OneDrive\Desktop\Weekly Report\"/>
    </mc:Choice>
  </mc:AlternateContent>
  <xr:revisionPtr revIDLastSave="0" documentId="13_ncr:1_{0636DC75-AA6C-436C-A2A9-EA25FE1CEAC0}" xr6:coauthVersionLast="47" xr6:coauthVersionMax="47" xr10:uidLastSave="{00000000-0000-0000-0000-000000000000}"/>
  <bookViews>
    <workbookView xWindow="-108" yWindow="-108" windowWidth="23256" windowHeight="13896" firstSheet="1" activeTab="2" xr2:uid="{00000000-000D-0000-FFFF-FFFF00000000}"/>
  </bookViews>
  <sheets>
    <sheet name="Summary" sheetId="23" state="hidden" r:id="rId1"/>
    <sheet name="Week (1)" sheetId="62" r:id="rId2"/>
    <sheet name="Week (2)" sheetId="63" r:id="rId3"/>
    <sheet name="Definitions" sheetId="2"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6" i="63" l="1"/>
  <c r="H35" i="63"/>
  <c r="H32" i="63"/>
  <c r="H31" i="63"/>
  <c r="H30" i="63"/>
  <c r="H29" i="63"/>
  <c r="H28" i="63"/>
  <c r="H27" i="63"/>
  <c r="H26" i="63"/>
  <c r="H25" i="63"/>
  <c r="H24" i="63"/>
  <c r="H23" i="63"/>
  <c r="H22" i="63"/>
  <c r="H21" i="63"/>
  <c r="H20" i="63"/>
  <c r="H19" i="63"/>
  <c r="H18" i="63"/>
  <c r="H17" i="63"/>
  <c r="H16" i="63"/>
  <c r="H15" i="63"/>
  <c r="H14" i="63"/>
  <c r="H13" i="63"/>
  <c r="L7" i="63"/>
  <c r="O7" i="63" s="1"/>
  <c r="H18" i="62"/>
  <c r="H37" i="62"/>
  <c r="H36" i="62"/>
  <c r="H35" i="62"/>
  <c r="H20" i="62"/>
  <c r="H32" i="62"/>
  <c r="H31" i="62"/>
  <c r="H30" i="62"/>
  <c r="H29" i="62"/>
  <c r="H28" i="62"/>
  <c r="H27" i="62"/>
  <c r="H26" i="62"/>
  <c r="H25" i="62"/>
  <c r="H24" i="62"/>
  <c r="H23" i="62"/>
  <c r="H22" i="62"/>
  <c r="H21" i="62"/>
  <c r="H19" i="62"/>
  <c r="H17" i="62"/>
  <c r="H16" i="62"/>
  <c r="H15" i="62"/>
  <c r="H14" i="62"/>
  <c r="H13" i="62"/>
  <c r="L7" i="62"/>
  <c r="O7" i="62" s="1"/>
  <c r="O11" i="23"/>
  <c r="O10" i="23" l="1"/>
  <c r="O12" i="23"/>
  <c r="O13" i="23"/>
  <c r="L7" i="23" l="1"/>
  <c r="O7" i="23" s="1"/>
</calcChain>
</file>

<file path=xl/sharedStrings.xml><?xml version="1.0" encoding="utf-8"?>
<sst xmlns="http://schemas.openxmlformats.org/spreadsheetml/2006/main" count="481" uniqueCount="233">
  <si>
    <t>PHONE</t>
  </si>
  <si>
    <t>REPORT WEEK OF:</t>
  </si>
  <si>
    <t>REPORT PREPARED BY:</t>
  </si>
  <si>
    <t>Monday</t>
  </si>
  <si>
    <t>Tuesday</t>
  </si>
  <si>
    <t>Wednesday</t>
  </si>
  <si>
    <t>Thursday</t>
  </si>
  <si>
    <t>Friday</t>
  </si>
  <si>
    <t>Saturday</t>
  </si>
  <si>
    <t>Sunday</t>
  </si>
  <si>
    <t>POSITION</t>
  </si>
  <si>
    <t>No.</t>
  </si>
  <si>
    <t>POSITION:</t>
  </si>
  <si>
    <t>OPPORTUNITY NAME</t>
  </si>
  <si>
    <t>INVOICE No.</t>
  </si>
  <si>
    <t>QUOTE No.</t>
  </si>
  <si>
    <t>REMARK</t>
  </si>
  <si>
    <t>NEW DEAL</t>
  </si>
  <si>
    <t>SUB.DATE</t>
  </si>
  <si>
    <t>FOLLOW UP</t>
  </si>
  <si>
    <t>ITEM DESCRIPTION</t>
  </si>
  <si>
    <t>STATUS</t>
  </si>
  <si>
    <t>HAPPEN</t>
  </si>
  <si>
    <t>Won</t>
  </si>
  <si>
    <t>&gt;75%</t>
  </si>
  <si>
    <t>Sales Name</t>
  </si>
  <si>
    <t>Lead Name</t>
  </si>
  <si>
    <t>Sector</t>
  </si>
  <si>
    <t>Contact person, Title</t>
  </si>
  <si>
    <t xml:space="preserve">Mobile </t>
  </si>
  <si>
    <t>E-mail</t>
  </si>
  <si>
    <t>Req. Known Date</t>
  </si>
  <si>
    <t>Requirements</t>
  </si>
  <si>
    <t>Lead status</t>
  </si>
  <si>
    <t>Competitors</t>
  </si>
  <si>
    <t>Sales Status</t>
  </si>
  <si>
    <t>Wining %</t>
  </si>
  <si>
    <t>Planning</t>
  </si>
  <si>
    <t>Qualified</t>
  </si>
  <si>
    <t>Definitions</t>
  </si>
  <si>
    <t>Req. Know Date</t>
  </si>
  <si>
    <t>The date which sales staff got to know the requirement, either throug meeting or on phone or other 3rd party</t>
  </si>
  <si>
    <t>Lead Status</t>
  </si>
  <si>
    <t>Customer is in the planning stage to collect pricing and product from suppliers. Sales staff needs to know the possible project timeframe (possible date to start the project or buy product)</t>
  </si>
  <si>
    <t>Customer have enough fund and ready to purchase to implement project or use the products</t>
  </si>
  <si>
    <t>Info Collection</t>
  </si>
  <si>
    <t xml:space="preserve">Understanding and Collecting customer's requirements </t>
  </si>
  <si>
    <t>Working on Quote</t>
  </si>
  <si>
    <t>The requirements are firmed up - working on specs, BoM, Price</t>
  </si>
  <si>
    <t>Quoted</t>
  </si>
  <si>
    <t>Submitted quotes/Proposals</t>
  </si>
  <si>
    <t>Followup</t>
  </si>
  <si>
    <t>Follow up acitivities with customers</t>
  </si>
  <si>
    <t>Pending</t>
  </si>
  <si>
    <t>The requirements has been pending due to budget or plan changes</t>
  </si>
  <si>
    <t>Lost</t>
  </si>
  <si>
    <t xml:space="preserve">Lost to competitor - Sales staff who handles this customer needs to know to which competitor we lost </t>
  </si>
  <si>
    <t>Less chance to win*</t>
  </si>
  <si>
    <t>Neutral position to be selected between 2 suppliers</t>
  </si>
  <si>
    <t>In advance position to win marjority of product or project</t>
  </si>
  <si>
    <t xml:space="preserve">Most likely to win </t>
  </si>
  <si>
    <t xml:space="preserve">* 25% = less chance to win, sales needs to explain why. </t>
  </si>
  <si>
    <t>PREVIOUS DEAL</t>
  </si>
  <si>
    <t>WEEKLY CORPORATE SALES REPORT</t>
  </si>
  <si>
    <t>WEEKLY AMOUNT:</t>
  </si>
  <si>
    <t>PERECENTAGE:</t>
  </si>
  <si>
    <t>MON Sreyneang</t>
  </si>
  <si>
    <t>Target</t>
  </si>
  <si>
    <t>Amount</t>
  </si>
  <si>
    <t xml:space="preserve">DAY </t>
  </si>
  <si>
    <t>WIN %</t>
  </si>
  <si>
    <t>CONTACT NAME</t>
  </si>
  <si>
    <t>SENIOR CORPORATE SALES</t>
  </si>
  <si>
    <t>COMPANY NAME : LIMPERAIL TECHNOLOGY</t>
  </si>
  <si>
    <t>ADDRESS : Building #15, Street Ayeaksmaiyean Bo (139), Sangkat Srah Chak, Khan Daun Penh, Phnom Penh, Cambodia.</t>
  </si>
  <si>
    <t>Week (1)</t>
  </si>
  <si>
    <t>Week (2)</t>
  </si>
  <si>
    <t>Week (3)</t>
  </si>
  <si>
    <t>Week (4)</t>
  </si>
  <si>
    <t>TOTAL</t>
  </si>
  <si>
    <t>Mon Sreyneang</t>
  </si>
  <si>
    <t>CUSTOMER LIST</t>
  </si>
  <si>
    <t>NW MOROW WN (CAMBODIA) CO., LTD.</t>
  </si>
  <si>
    <t>ORIENDA INTERNATIONAL HOSPITAL CO., LTD.</t>
  </si>
  <si>
    <t>Amret Plc.</t>
  </si>
  <si>
    <t>01/February/2026 - 28/February/2026</t>
  </si>
  <si>
    <t>BRD (CAMBODIA) LIMITED.</t>
  </si>
  <si>
    <t>Q-0000013</t>
  </si>
  <si>
    <t>Lenovo ThinkCentre Neo 50t (4units), ASUS Vivobook Go14 (1unit), ASUS Vivobook S14 (1unit), Lenovo IdeaPad Slim 3 (1unit), Lenovo Monitor (4units)</t>
  </si>
  <si>
    <t>Ganzberg Brewery</t>
  </si>
  <si>
    <t>Family Heath International (FHI360)</t>
  </si>
  <si>
    <t>GNS KHM CO.,LTD</t>
  </si>
  <si>
    <t>Prudential (Cambodia) Life Assurance Plc.</t>
  </si>
  <si>
    <t>BS TRANSPORTATION &amp; TRADING CO., LTD.</t>
  </si>
  <si>
    <t>Lenovo ThinkPad X1 Carbon Gen 13 Aura Edition (1unit)</t>
  </si>
  <si>
    <t>Q-0000019</t>
  </si>
  <si>
    <t>Daun Penh Specialized Bank Plc</t>
  </si>
  <si>
    <t>Q-0000024</t>
  </si>
  <si>
    <t>Q-0000029</t>
  </si>
  <si>
    <t>Q-0000030</t>
  </si>
  <si>
    <t>Lenovo ThinkPad X1 Carbon Gen 13 (21NSS03D00) (1unit)</t>
  </si>
  <si>
    <t>Lenovo ThinkPad E14 G7(21SX004WFQ)-CTO (1unit)</t>
  </si>
  <si>
    <t>APC Smart-UPS C 1000VA LCD RM 2U 230V with Smart Connect (1unit)</t>
  </si>
  <si>
    <t>Tonle Sap Authority</t>
  </si>
  <si>
    <t>Cambodia Post Bank Plc.</t>
  </si>
  <si>
    <t>TOYOTA (CAMBODIA) CO., LTD.</t>
  </si>
  <si>
    <t>IT and Purchasing</t>
  </si>
  <si>
    <t>Location</t>
  </si>
  <si>
    <t>Q-0000031</t>
  </si>
  <si>
    <t>Q-0000032</t>
  </si>
  <si>
    <t>Q-0000034</t>
  </si>
  <si>
    <t>Q-0000036</t>
  </si>
  <si>
    <t>Lenovo ThinkPad E16 Gen 3 (Intel) (4units) &amp; Dell OptiPlex All-in-One (Plus 7410) (7units)</t>
  </si>
  <si>
    <t>Posiflex RT-6015-G2-WIN11 (10units)</t>
  </si>
  <si>
    <t>DKSH (Cambodia) Ltd</t>
  </si>
  <si>
    <t>Procurement Executive</t>
  </si>
  <si>
    <t>Lenovo ThinkPad T14 (Ultra 5 , 16GB  , 512GB , Win11Pro) (25units)</t>
  </si>
  <si>
    <t>Q-0000039</t>
  </si>
  <si>
    <t>Q-0000040</t>
  </si>
  <si>
    <t>Q-0000041</t>
  </si>
  <si>
    <t>Q-0000042</t>
  </si>
  <si>
    <t>Q-0000043</t>
  </si>
  <si>
    <t>Q-0000044</t>
  </si>
  <si>
    <t>Q-0000045</t>
  </si>
  <si>
    <t>Q-0000046</t>
  </si>
  <si>
    <t>Q-0000047</t>
  </si>
  <si>
    <t>Senate of the Kingdom of Cambodia</t>
  </si>
  <si>
    <t>Destops &amp; Monitors (13sets) = 8,410.00$</t>
  </si>
  <si>
    <t>ASUS ProArt Display PA279CRV (1unit) &amp; Logitech M650 Wireless Mouse (1unit)</t>
  </si>
  <si>
    <t>Dell Pro 27 Plus P2725DE (1unit) &amp; Logitech H390 USB Headset (3units)</t>
  </si>
  <si>
    <t>Lenovo Tablet M11 (60units)</t>
  </si>
  <si>
    <t>COFFEE CONCEPTS (CAMBODIA) LIMITED</t>
  </si>
  <si>
    <t>Dell Tower ECT1250 (i7,16GB,512GB SSD,Ubuntu) (2units)</t>
  </si>
  <si>
    <t>Lenovo ThinkPad X1 Carbon Gen 10 (21CCS5G100) (1unit)</t>
  </si>
  <si>
    <t>TRUST REGULATOR</t>
  </si>
  <si>
    <t>Desktop Dell OptiPlex 7020 MT CPU &amp; Dell 24 Monitor - E2425H (7sets) = 6440$</t>
  </si>
  <si>
    <t>Dell Tower ECT1250 (28sets) &amp; Licence Win11 Pro &amp; Office Licence = 44,604$</t>
  </si>
  <si>
    <t>Lenovo Legion 5 15IRX10 (83LY00S9FQ) (1unit)</t>
  </si>
  <si>
    <t>Q-0000049</t>
  </si>
  <si>
    <t>Q-0000050</t>
  </si>
  <si>
    <t>MSI Vector A18 HX A9WIG- 096KH  (2units)</t>
  </si>
  <si>
    <t>Dell Latitude 3450 (Ultra 5 125U, 8GB, 512GB, Non OS) (10units) &amp; P2725H (1unit)</t>
  </si>
  <si>
    <t>This quote can't provide VAT quote (But customer prefer VAT)</t>
  </si>
  <si>
    <t>Waiting customer boss approve</t>
  </si>
  <si>
    <t>IT Manager</t>
  </si>
  <si>
    <t>Follow up, update new company profile and keep in-touch for the further requirments.</t>
  </si>
  <si>
    <t>Still Pending</t>
  </si>
  <si>
    <t>30/March/2026 - 04/April/2026</t>
  </si>
  <si>
    <t>Dell Tower ECT1250 (i7-14700/16GB/512GB) (10units) &amp; Monitors = 8950$</t>
  </si>
  <si>
    <t xml:space="preserve">Customer will feedback the result on next week </t>
  </si>
  <si>
    <t>Our price higher than another compititor</t>
  </si>
  <si>
    <t>SNN E&amp;T SOLUTION CO., LTD</t>
  </si>
  <si>
    <t>BRED BANK (CAMBODIA) PLC.</t>
  </si>
  <si>
    <t>PSE-POUR UN SOURIRE D'ENFANT</t>
  </si>
  <si>
    <t>EXPERT EDUCATION AND VISA SERVICES (CAMBODIA) CO., LTD</t>
  </si>
  <si>
    <t>Kamac Retail Company Limited</t>
  </si>
  <si>
    <t>Mr. Samnang Nhim</t>
  </si>
  <si>
    <t>Mr. Chandavuth THUL</t>
  </si>
  <si>
    <t>Tey Sreyneang</t>
  </si>
  <si>
    <t>Mr. MEAS Soreach</t>
  </si>
  <si>
    <t>Mr. Sopheak</t>
  </si>
  <si>
    <t>(+855) 93 688 853</t>
  </si>
  <si>
    <t>(+855) 93 544 448</t>
  </si>
  <si>
    <t>(+855) 96 728 4101</t>
  </si>
  <si>
    <t>(+855)​​ 85 663 423</t>
  </si>
  <si>
    <t>(+855) 92 333 795</t>
  </si>
  <si>
    <t>Followu up, customer still not yet have any new IT requirments.</t>
  </si>
  <si>
    <t>New Lead, Introduce about company profile and keep in-touch for the further requirments (She moved from World Vision)</t>
  </si>
  <si>
    <t xml:space="preserve">New Lead, Introduce about company profile and keep in-touch for the further requirments </t>
  </si>
  <si>
    <t xml:space="preserve"> - Our selling price is higher than other compititor 
  - The client insists on multiple drop-offs (phased delivery) rather than a single shipment, which impacts our operational costs.</t>
  </si>
  <si>
    <t>Waiting customer on next week (Maybe customer prefer from us only Licence)</t>
  </si>
  <si>
    <t>Q-0000051</t>
  </si>
  <si>
    <t>Q-0000052</t>
  </si>
  <si>
    <t>Q-0000053</t>
  </si>
  <si>
    <t>Project Laptops Lenovo = 56,420$</t>
  </si>
  <si>
    <t>Lenovo Legion 5 15IRX10 Eclipse Black (83LY00S9FQ) &amp; HDD 1TB  SSD (1set)</t>
  </si>
  <si>
    <t>Microsoft Surface Laptop 13" (Copilot+ PC) (3unit) = 3150$</t>
  </si>
  <si>
    <t>She will let us know the result soonest (Now under IT Team review)</t>
  </si>
  <si>
    <t>SO-0000039</t>
  </si>
  <si>
    <t>Delivery Completed</t>
  </si>
  <si>
    <t>06/April/2026 - 11/April/2026</t>
  </si>
  <si>
    <t>Q-0000054</t>
  </si>
  <si>
    <t xml:space="preserve">Our price high than other compititor </t>
  </si>
  <si>
    <t>Starlight Apparel Manufacturing Co., Ltd</t>
  </si>
  <si>
    <t>Nagaworld Limited</t>
  </si>
  <si>
    <t>Q-0000055</t>
  </si>
  <si>
    <t>APC EASY UPS BV 650VA, AVR, Universal Outlet 230V (10units)</t>
  </si>
  <si>
    <t>Lenovo Legion T7 34IAS10 (1unit)</t>
  </si>
  <si>
    <t>TechZone Plus (TZP) Co., Ltd.</t>
  </si>
  <si>
    <t>SGS CAMBODIA LIMITED</t>
  </si>
  <si>
    <t>Embassy of Japan in Cambodia</t>
  </si>
  <si>
    <t>National Payment Certification Agency</t>
  </si>
  <si>
    <t>Ministry of Economy and Finance</t>
  </si>
  <si>
    <t>Intertek Testing Service (Cambodia) Company Limited</t>
  </si>
  <si>
    <t>CKSN INTERNATIONAL TRANSPORT CO., LTD.</t>
  </si>
  <si>
    <t>GOODHILL ENTERPRISE (CAMBODIA) LTD</t>
  </si>
  <si>
    <t>HENG FENG (CAMBODIA) BANK PLC.</t>
  </si>
  <si>
    <t>Mr. ChimYouphak</t>
  </si>
  <si>
    <t>Mr. Sopheareak Rith</t>
  </si>
  <si>
    <t>Mr. Kim Vanny</t>
  </si>
  <si>
    <t>Procurement Team</t>
  </si>
  <si>
    <t>Ms. Chhun Davin</t>
  </si>
  <si>
    <t>Ms. Dalineth Hong</t>
  </si>
  <si>
    <t>Mr. Mengsry</t>
  </si>
  <si>
    <t>Mr. Thuok Poleak</t>
  </si>
  <si>
    <t>Ms. SMANN Simey</t>
  </si>
  <si>
    <t>Mr. Sinith</t>
  </si>
  <si>
    <t>Procurment Excecutive</t>
  </si>
  <si>
    <t>IT Officer</t>
  </si>
  <si>
    <t>(+855) 16 696 788</t>
  </si>
  <si>
    <t>(+855) 10 325 495</t>
  </si>
  <si>
    <t>(+855) 11 989 089</t>
  </si>
  <si>
    <t>(+855)​ 96 784 9176</t>
  </si>
  <si>
    <t>(+855) 12 299 535</t>
  </si>
  <si>
    <t>(+855) ​77 688 116</t>
  </si>
  <si>
    <t>(+855) 98 886 989</t>
  </si>
  <si>
    <t>(+855) 10 616 610</t>
  </si>
  <si>
    <t>(+855) 11 715 589</t>
  </si>
  <si>
    <t>(+855) 70 432 928</t>
  </si>
  <si>
    <t>New lead, update new company profile and keep in-touch for the further requirments.</t>
  </si>
  <si>
    <t>Follow up, update new company profile and keep in-touch for the further requirments</t>
  </si>
  <si>
    <t>New Lead, The customer has a project coming up, and we need to collect the bidding documents directly from their office.</t>
  </si>
  <si>
    <t>Follow up, Uupdate new company profile and customer also have new project.</t>
  </si>
  <si>
    <t>Follow up, update new company and keep follow up for the further requirments.</t>
  </si>
  <si>
    <t>Follow up, update new company profile and keep follow up for the further requirments.</t>
  </si>
  <si>
    <t>Follow up, update new company profile and keep in-touch for the further reuirments.</t>
  </si>
  <si>
    <t>Norodom Boulevard</t>
  </si>
  <si>
    <t xml:space="preserve">
- Novotel Phnom Penh
- ​TP Moral Group CO., LTD. (Under Construction)
- National Bank of Cambodia​ (Under Construction)
- ​Maybank Cambodia Norodom Branch
- APD Bank Norodom Branch (Under Renovation)
- Shinhan Bank
- HH BANK (CAMBODIA) PLC
- Sacombank (Cambodia) Plc.</t>
  </si>
  <si>
    <t>Customer cancel plan</t>
  </si>
  <si>
    <t xml:space="preserve">this project still pending due customer hold, still keep tracking this project </t>
  </si>
  <si>
    <t>Customer prefer licence onboard</t>
  </si>
  <si>
    <t xml:space="preserve">Waiting customer final feedback </t>
  </si>
  <si>
    <t>Dell Tower ECT1250 (i7-14700/16GB/512GB) (10units) &amp; Monitors = 8850$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</si>
</sst>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d\-mmm\-yyyy;@"/>
  </numFmts>
  <fonts count="16" x14ac:knownFonts="1">
    <font>
      <sz val="11"/>
      <color theme="1"/>
      <name val="Calibri"/>
      <family val="2"/>
      <scheme val="minor"/>
    </font>
    <font>
      <sz val="10"/>
      <color theme="1"/>
      <name val="Century Gothic"/>
      <family val="1"/>
    </font>
    <font>
      <b/>
      <sz val="10"/>
      <color theme="1"/>
      <name val="Century Gothic"/>
      <family val="2"/>
    </font>
    <font>
      <sz val="14"/>
      <color theme="0" tint="-0.499984740745262"/>
      <name val="Century Gothic"/>
      <family val="1"/>
    </font>
    <font>
      <b/>
      <sz val="10"/>
      <color theme="0"/>
      <name val="Century Gothic"/>
      <family val="1"/>
    </font>
    <font>
      <b/>
      <sz val="18"/>
      <color theme="1" tint="0.34998626667073579"/>
      <name val="Century Gothic"/>
      <family val="1"/>
    </font>
    <font>
      <sz val="11"/>
      <color theme="1"/>
      <name val="Calibri"/>
      <family val="2"/>
      <scheme val="minor"/>
    </font>
    <font>
      <b/>
      <sz val="8"/>
      <color theme="1"/>
      <name val="Arial"/>
      <family val="2"/>
    </font>
    <font>
      <sz val="8"/>
      <color theme="1"/>
      <name val="Arial"/>
      <family val="2"/>
    </font>
    <font>
      <sz val="9"/>
      <color theme="1"/>
      <name val="Century Gothic"/>
      <family val="1"/>
    </font>
    <font>
      <sz val="13"/>
      <color theme="0" tint="-0.499984740745262"/>
      <name val="Century Gothic"/>
      <family val="1"/>
    </font>
    <font>
      <sz val="8"/>
      <color theme="1"/>
      <name val="Century Gothic"/>
      <family val="1"/>
    </font>
    <font>
      <b/>
      <sz val="10"/>
      <name val="Century Gothic"/>
      <family val="1"/>
    </font>
    <font>
      <b/>
      <sz val="10"/>
      <color theme="0"/>
      <name val="Century Gothic"/>
      <family val="2"/>
    </font>
    <font>
      <sz val="9"/>
      <color rgb="FF434343"/>
      <name val="Roboto"/>
    </font>
    <font>
      <sz val="8"/>
      <name val="Calibri"/>
      <family val="2"/>
      <scheme val="minor"/>
    </font>
  </fonts>
  <fills count="9">
    <fill>
      <patternFill patternType="none"/>
    </fill>
    <fill>
      <patternFill patternType="gray125"/>
    </fill>
    <fill>
      <patternFill patternType="solid">
        <fgColor theme="3" tint="-0.499984740745262"/>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4AAD"/>
        <bgColor indexed="64"/>
      </patternFill>
    </fill>
    <fill>
      <patternFill patternType="solid">
        <fgColor theme="0"/>
        <bgColor indexed="64"/>
      </patternFill>
    </fill>
    <fill>
      <patternFill patternType="solid">
        <fgColor rgb="FFF8F9FA"/>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diagonal/>
    </border>
    <border>
      <left style="thin">
        <color theme="0"/>
      </left>
      <right style="thin">
        <color theme="0"/>
      </right>
      <top/>
      <bottom style="thin">
        <color theme="0"/>
      </bottom>
      <diagonal/>
    </border>
  </borders>
  <cellStyleXfs count="3">
    <xf numFmtId="0" fontId="0" fillId="0" borderId="0"/>
    <xf numFmtId="9" fontId="6" fillId="0" borderId="0" applyFont="0" applyFill="0" applyBorder="0" applyAlignment="0" applyProtection="0"/>
    <xf numFmtId="44" fontId="6" fillId="0" borderId="0" applyFont="0" applyFill="0" applyBorder="0" applyAlignment="0" applyProtection="0"/>
  </cellStyleXfs>
  <cellXfs count="79">
    <xf numFmtId="0" fontId="0" fillId="0" borderId="0" xfId="0"/>
    <xf numFmtId="0" fontId="1" fillId="0" borderId="0" xfId="0" applyFont="1"/>
    <xf numFmtId="0" fontId="2" fillId="0" borderId="0" xfId="0" applyFont="1" applyAlignment="1">
      <alignment horizontal="left" vertical="center" indent="1"/>
    </xf>
    <xf numFmtId="0" fontId="1" fillId="0" borderId="0" xfId="0" applyFont="1" applyAlignment="1">
      <alignment horizontal="left" vertical="center" indent="1"/>
    </xf>
    <xf numFmtId="0" fontId="1" fillId="0" borderId="0" xfId="0" applyFont="1" applyAlignment="1">
      <alignment vertical="center"/>
    </xf>
    <xf numFmtId="0" fontId="7" fillId="5" borderId="0" xfId="0" applyFont="1" applyFill="1"/>
    <xf numFmtId="0" fontId="7" fillId="0" borderId="0" xfId="0" applyFont="1"/>
    <xf numFmtId="0" fontId="8" fillId="0" borderId="0" xfId="0" applyFont="1"/>
    <xf numFmtId="9" fontId="8" fillId="0" borderId="0" xfId="0" applyNumberFormat="1" applyFont="1" applyAlignment="1">
      <alignment horizontal="center"/>
    </xf>
    <xf numFmtId="0" fontId="8" fillId="0" borderId="0" xfId="0" applyFont="1" applyAlignment="1">
      <alignment horizontal="center"/>
    </xf>
    <xf numFmtId="0" fontId="3" fillId="0" borderId="0" xfId="0" applyFont="1" applyAlignment="1">
      <alignment vertical="center"/>
    </xf>
    <xf numFmtId="0" fontId="5" fillId="0" borderId="0" xfId="0" applyFont="1" applyAlignment="1">
      <alignment vertical="center"/>
    </xf>
    <xf numFmtId="44" fontId="0" fillId="0" borderId="0" xfId="0" applyNumberFormat="1"/>
    <xf numFmtId="0" fontId="4" fillId="2" borderId="1" xfId="0" applyFont="1" applyFill="1" applyBorder="1" applyAlignment="1">
      <alignment horizontal="center" vertical="center" wrapText="1"/>
    </xf>
    <xf numFmtId="0" fontId="0" fillId="0" borderId="4" xfId="0" applyBorder="1" applyAlignment="1">
      <alignment horizontal="center" vertical="center"/>
    </xf>
    <xf numFmtId="0" fontId="1" fillId="0" borderId="4" xfId="0" applyFont="1" applyBorder="1" applyAlignment="1">
      <alignment horizontal="center" vertical="center" wrapText="1"/>
    </xf>
    <xf numFmtId="9" fontId="1" fillId="0" borderId="4" xfId="1" applyFont="1" applyFill="1" applyBorder="1" applyAlignment="1">
      <alignment horizontal="center" vertical="center" wrapText="1"/>
    </xf>
    <xf numFmtId="0" fontId="1" fillId="4" borderId="4" xfId="0" applyFont="1" applyFill="1" applyBorder="1" applyAlignment="1">
      <alignment horizontal="left" vertical="center" wrapText="1"/>
    </xf>
    <xf numFmtId="0" fontId="4" fillId="6" borderId="4"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164" fontId="5" fillId="0" borderId="0" xfId="0" applyNumberFormat="1" applyFont="1" applyAlignment="1">
      <alignment vertical="center"/>
    </xf>
    <xf numFmtId="164" fontId="1" fillId="0" borderId="0" xfId="0" applyNumberFormat="1" applyFont="1"/>
    <xf numFmtId="164" fontId="1" fillId="0" borderId="0" xfId="0" applyNumberFormat="1" applyFont="1" applyAlignment="1">
      <alignment vertical="center"/>
    </xf>
    <xf numFmtId="164" fontId="9" fillId="0" borderId="4" xfId="0" applyNumberFormat="1" applyFont="1" applyBorder="1" applyAlignment="1">
      <alignment horizontal="center" vertical="center"/>
    </xf>
    <xf numFmtId="164" fontId="13" fillId="6" borderId="6" xfId="0" applyNumberFormat="1" applyFont="1" applyFill="1" applyBorder="1" applyAlignment="1">
      <alignment horizontal="center" vertical="center"/>
    </xf>
    <xf numFmtId="164" fontId="0" fillId="0" borderId="0" xfId="0" applyNumberFormat="1"/>
    <xf numFmtId="0" fontId="0" fillId="0" borderId="8" xfId="0" applyBorder="1"/>
    <xf numFmtId="0" fontId="0" fillId="0" borderId="8" xfId="0" applyBorder="1" applyAlignment="1">
      <alignment horizontal="center"/>
    </xf>
    <xf numFmtId="0" fontId="9" fillId="4" borderId="2" xfId="0" applyFont="1" applyFill="1" applyBorder="1" applyAlignment="1">
      <alignment horizontal="left" vertical="center" wrapText="1"/>
    </xf>
    <xf numFmtId="164" fontId="9" fillId="7" borderId="2" xfId="0" applyNumberFormat="1" applyFont="1" applyFill="1" applyBorder="1" applyAlignment="1">
      <alignment vertical="center"/>
    </xf>
    <xf numFmtId="0" fontId="9" fillId="7" borderId="3" xfId="0" applyFont="1" applyFill="1" applyBorder="1" applyAlignment="1">
      <alignment vertical="center"/>
    </xf>
    <xf numFmtId="0" fontId="9" fillId="7" borderId="2" xfId="0" applyFont="1" applyFill="1" applyBorder="1" applyAlignment="1">
      <alignment horizontal="left" vertical="center" indent="1"/>
    </xf>
    <xf numFmtId="0" fontId="9" fillId="7" borderId="5" xfId="0" applyFont="1" applyFill="1" applyBorder="1" applyAlignment="1">
      <alignment horizontal="left" vertical="center" indent="1"/>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9" fillId="0" borderId="2" xfId="0" applyFont="1"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44" fontId="2" fillId="0" borderId="2" xfId="0" applyNumberFormat="1" applyFont="1" applyBorder="1" applyAlignment="1">
      <alignment horizontal="center" vertical="center"/>
    </xf>
    <xf numFmtId="44" fontId="2" fillId="0" borderId="5" xfId="0" applyNumberFormat="1" applyFont="1" applyBorder="1" applyAlignment="1">
      <alignment horizontal="center" vertical="center"/>
    </xf>
    <xf numFmtId="44" fontId="2" fillId="0" borderId="3" xfId="0" applyNumberFormat="1" applyFont="1" applyBorder="1" applyAlignment="1">
      <alignment horizontal="center" vertical="center"/>
    </xf>
    <xf numFmtId="9" fontId="0" fillId="0" borderId="2" xfId="1" applyFont="1" applyBorder="1" applyAlignment="1">
      <alignment horizontal="center" vertical="center"/>
    </xf>
    <xf numFmtId="9" fontId="0" fillId="0" borderId="3" xfId="1" applyFont="1" applyBorder="1" applyAlignment="1">
      <alignment horizontal="center" vertical="center"/>
    </xf>
    <xf numFmtId="0" fontId="12" fillId="3"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44" fontId="12" fillId="3" borderId="4" xfId="2" applyFont="1" applyFill="1" applyBorder="1" applyAlignment="1">
      <alignment horizontal="center" vertical="center" wrapText="1"/>
    </xf>
    <xf numFmtId="44" fontId="9" fillId="0" borderId="2" xfId="2" applyFont="1" applyBorder="1" applyAlignment="1">
      <alignment horizontal="center" vertical="center" wrapText="1"/>
    </xf>
    <xf numFmtId="44" fontId="9" fillId="0" borderId="3" xfId="2" applyFont="1" applyBorder="1" applyAlignment="1">
      <alignment horizontal="center" vertical="center" wrapText="1"/>
    </xf>
    <xf numFmtId="44" fontId="9" fillId="0" borderId="4" xfId="2" applyFont="1" applyBorder="1" applyAlignment="1">
      <alignment horizontal="center" vertical="center" wrapText="1"/>
    </xf>
    <xf numFmtId="0" fontId="1" fillId="0" borderId="4" xfId="0" applyFont="1" applyBorder="1" applyAlignment="1">
      <alignment horizontal="center" vertical="center" wrapText="1"/>
    </xf>
    <xf numFmtId="0" fontId="11" fillId="0" borderId="4" xfId="0" applyFont="1" applyBorder="1" applyAlignment="1">
      <alignment horizontal="left" vertical="center" wrapText="1"/>
    </xf>
    <xf numFmtId="44" fontId="11" fillId="0" borderId="4" xfId="0" applyNumberFormat="1"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3" fillId="6"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4" fillId="8" borderId="2" xfId="0" applyFont="1" applyFill="1" applyBorder="1" applyAlignment="1">
      <alignment horizontal="left" vertical="center" wrapText="1"/>
    </xf>
    <xf numFmtId="0" fontId="14" fillId="8" borderId="5" xfId="0" applyFont="1" applyFill="1" applyBorder="1" applyAlignment="1">
      <alignment horizontal="left" vertical="center" wrapText="1"/>
    </xf>
    <xf numFmtId="0" fontId="14" fillId="8" borderId="3" xfId="0" applyFont="1" applyFill="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4" fillId="6" borderId="7"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6" xfId="0" applyFont="1" applyFill="1" applyBorder="1" applyAlignment="1">
      <alignment horizontal="center" vertical="center"/>
    </xf>
    <xf numFmtId="0" fontId="9" fillId="0" borderId="4" xfId="0" applyFont="1" applyBorder="1" applyAlignment="1">
      <alignment horizontal="center" vertical="center" wrapText="1"/>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004A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195617</xdr:colOff>
      <xdr:row>0</xdr:row>
      <xdr:rowOff>266120</xdr:rowOff>
    </xdr:from>
    <xdr:to>
      <xdr:col>14</xdr:col>
      <xdr:colOff>685800</xdr:colOff>
      <xdr:row>2</xdr:row>
      <xdr:rowOff>131445</xdr:rowOff>
    </xdr:to>
    <xdr:pic>
      <xdr:nvPicPr>
        <xdr:cNvPr id="2" name="Picture 1">
          <a:extLst>
            <a:ext uri="{FF2B5EF4-FFF2-40B4-BE49-F238E27FC236}">
              <a16:creationId xmlns:a16="http://schemas.microsoft.com/office/drawing/2014/main" id="{63F74230-76E7-43A5-9BE7-047149400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53177" y="266120"/>
          <a:ext cx="2029423" cy="396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195617</xdr:colOff>
      <xdr:row>0</xdr:row>
      <xdr:rowOff>266120</xdr:rowOff>
    </xdr:from>
    <xdr:to>
      <xdr:col>14</xdr:col>
      <xdr:colOff>701040</xdr:colOff>
      <xdr:row>2</xdr:row>
      <xdr:rowOff>131445</xdr:rowOff>
    </xdr:to>
    <xdr:pic>
      <xdr:nvPicPr>
        <xdr:cNvPr id="2" name="Picture 1">
          <a:extLst>
            <a:ext uri="{FF2B5EF4-FFF2-40B4-BE49-F238E27FC236}">
              <a16:creationId xmlns:a16="http://schemas.microsoft.com/office/drawing/2014/main" id="{B0D8E33B-51F7-427E-9BB7-2D00057FEB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64557" y="266120"/>
          <a:ext cx="2029423" cy="3834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195617</xdr:colOff>
      <xdr:row>0</xdr:row>
      <xdr:rowOff>266120</xdr:rowOff>
    </xdr:from>
    <xdr:to>
      <xdr:col>14</xdr:col>
      <xdr:colOff>701040</xdr:colOff>
      <xdr:row>2</xdr:row>
      <xdr:rowOff>131445</xdr:rowOff>
    </xdr:to>
    <xdr:pic>
      <xdr:nvPicPr>
        <xdr:cNvPr id="2" name="Picture 1">
          <a:extLst>
            <a:ext uri="{FF2B5EF4-FFF2-40B4-BE49-F238E27FC236}">
              <a16:creationId xmlns:a16="http://schemas.microsoft.com/office/drawing/2014/main" id="{DFD7B636-D257-4CCA-A182-E35866C4D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64557" y="266120"/>
          <a:ext cx="2029423" cy="3834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3E53-3692-4C01-BE37-FAE6D7890620}">
  <dimension ref="A1:U13"/>
  <sheetViews>
    <sheetView zoomScaleNormal="100" workbookViewId="0">
      <selection activeCell="N16" sqref="N16"/>
    </sheetView>
  </sheetViews>
  <sheetFormatPr defaultRowHeight="14.4" x14ac:dyDescent="0.3"/>
  <cols>
    <col min="1" max="1" width="4.5546875" customWidth="1"/>
    <col min="2" max="2" width="43" customWidth="1"/>
    <col min="3" max="7" width="11.21875" customWidth="1"/>
    <col min="8" max="8" width="11.21875" style="27" customWidth="1"/>
    <col min="9" max="16" width="11.21875" customWidth="1"/>
    <col min="19" max="19" width="0" hidden="1" customWidth="1"/>
    <col min="20" max="20" width="10.109375" hidden="1" customWidth="1"/>
    <col min="21" max="22" width="0" hidden="1" customWidth="1"/>
  </cols>
  <sheetData>
    <row r="1" spans="1:21" ht="26.4" customHeight="1" x14ac:dyDescent="0.3">
      <c r="A1" s="35" t="s">
        <v>63</v>
      </c>
      <c r="B1" s="35"/>
      <c r="C1" s="35"/>
      <c r="D1" s="35"/>
      <c r="E1" s="35"/>
      <c r="F1" s="11"/>
      <c r="G1" s="11"/>
      <c r="H1" s="22"/>
      <c r="I1" s="11"/>
      <c r="J1" s="11"/>
    </row>
    <row r="2" spans="1:21" x14ac:dyDescent="0.3">
      <c r="A2" s="36" t="s">
        <v>73</v>
      </c>
      <c r="B2" s="36"/>
      <c r="C2" s="2"/>
      <c r="D2" s="3"/>
      <c r="E2" s="1"/>
      <c r="F2" s="1"/>
      <c r="G2" s="1"/>
      <c r="H2" s="23"/>
      <c r="I2" s="1"/>
      <c r="J2" s="1"/>
      <c r="K2" s="12"/>
    </row>
    <row r="3" spans="1:21" x14ac:dyDescent="0.3">
      <c r="A3" s="4" t="s">
        <v>74</v>
      </c>
      <c r="B3" s="4"/>
      <c r="C3" s="3"/>
      <c r="D3" s="3"/>
      <c r="E3" s="4"/>
      <c r="F3" s="4"/>
      <c r="G3" s="4"/>
      <c r="H3" s="24"/>
      <c r="I3" s="4"/>
      <c r="J3" s="4"/>
      <c r="K3" s="12"/>
    </row>
    <row r="4" spans="1:21" x14ac:dyDescent="0.3">
      <c r="A4" s="37"/>
      <c r="B4" s="37"/>
      <c r="C4" s="3"/>
      <c r="D4" s="3"/>
      <c r="E4" s="1"/>
      <c r="F4" s="1"/>
      <c r="G4" s="1"/>
      <c r="H4" s="23"/>
      <c r="I4" s="1"/>
      <c r="J4" s="1"/>
    </row>
    <row r="5" spans="1:21" x14ac:dyDescent="0.3">
      <c r="A5" s="38"/>
      <c r="B5" s="38"/>
      <c r="C5" s="3"/>
      <c r="D5" s="3"/>
      <c r="E5" s="1"/>
      <c r="F5" s="1"/>
      <c r="G5" s="1"/>
      <c r="H5" s="23"/>
      <c r="I5" s="1"/>
      <c r="J5" s="1"/>
    </row>
    <row r="6" spans="1:21" ht="16.8" x14ac:dyDescent="0.3">
      <c r="A6" s="39" t="s">
        <v>1</v>
      </c>
      <c r="B6" s="39"/>
      <c r="C6" s="10"/>
      <c r="D6" s="40" t="s">
        <v>2</v>
      </c>
      <c r="E6" s="40"/>
      <c r="F6" s="40"/>
      <c r="G6" s="40" t="s">
        <v>12</v>
      </c>
      <c r="H6" s="40"/>
      <c r="I6" s="40"/>
      <c r="L6" s="40" t="s">
        <v>64</v>
      </c>
      <c r="M6" s="40"/>
      <c r="N6" s="40"/>
      <c r="O6" s="40" t="s">
        <v>65</v>
      </c>
      <c r="P6" s="40"/>
    </row>
    <row r="7" spans="1:21" ht="20.100000000000001" customHeight="1" x14ac:dyDescent="0.3">
      <c r="A7" s="41" t="s">
        <v>85</v>
      </c>
      <c r="B7" s="42"/>
      <c r="C7" s="4"/>
      <c r="D7" s="43" t="s">
        <v>66</v>
      </c>
      <c r="E7" s="44"/>
      <c r="F7" s="45"/>
      <c r="G7" s="46" t="s">
        <v>72</v>
      </c>
      <c r="H7" s="47"/>
      <c r="I7" s="48"/>
      <c r="L7" s="49">
        <f>SUM(O10:P13)</f>
        <v>0</v>
      </c>
      <c r="M7" s="50"/>
      <c r="N7" s="51"/>
      <c r="O7" s="52" t="e">
        <f>L7/T9</f>
        <v>#DIV/0!</v>
      </c>
      <c r="P7" s="53"/>
      <c r="T7" s="54" t="s">
        <v>67</v>
      </c>
      <c r="U7" s="54"/>
    </row>
    <row r="8" spans="1:21" x14ac:dyDescent="0.3">
      <c r="B8" s="3"/>
      <c r="C8" s="3"/>
      <c r="D8" s="3"/>
      <c r="E8" s="3"/>
      <c r="F8" s="3"/>
      <c r="G8" s="3"/>
      <c r="H8" s="23"/>
      <c r="I8" s="1"/>
      <c r="J8" s="1"/>
    </row>
    <row r="9" spans="1:21" ht="25.8" customHeight="1" x14ac:dyDescent="0.3">
      <c r="A9" s="55" t="s">
        <v>69</v>
      </c>
      <c r="B9" s="55"/>
      <c r="C9" s="56" t="s">
        <v>3</v>
      </c>
      <c r="D9" s="56"/>
      <c r="E9" s="56" t="s">
        <v>4</v>
      </c>
      <c r="F9" s="56"/>
      <c r="G9" s="56" t="s">
        <v>5</v>
      </c>
      <c r="H9" s="56"/>
      <c r="I9" s="56" t="s">
        <v>6</v>
      </c>
      <c r="J9" s="56"/>
      <c r="K9" s="56" t="s">
        <v>7</v>
      </c>
      <c r="L9" s="56"/>
      <c r="M9" s="56" t="s">
        <v>8</v>
      </c>
      <c r="N9" s="56"/>
      <c r="O9" s="56" t="s">
        <v>79</v>
      </c>
      <c r="P9" s="56"/>
      <c r="T9" s="57">
        <v>0</v>
      </c>
      <c r="U9" s="57"/>
    </row>
    <row r="10" spans="1:21" ht="25.8" customHeight="1" x14ac:dyDescent="0.3">
      <c r="A10" s="55" t="s">
        <v>75</v>
      </c>
      <c r="B10" s="55"/>
      <c r="C10" s="58">
        <v>0</v>
      </c>
      <c r="D10" s="59"/>
      <c r="E10" s="58">
        <v>0</v>
      </c>
      <c r="F10" s="59"/>
      <c r="G10" s="58">
        <v>0</v>
      </c>
      <c r="H10" s="59"/>
      <c r="I10" s="58">
        <v>0</v>
      </c>
      <c r="J10" s="59"/>
      <c r="K10" s="58">
        <v>0</v>
      </c>
      <c r="L10" s="59"/>
      <c r="M10" s="58">
        <v>0</v>
      </c>
      <c r="N10" s="59"/>
      <c r="O10" s="58">
        <f>SUM(C10:N10)</f>
        <v>0</v>
      </c>
      <c r="P10" s="59"/>
    </row>
    <row r="11" spans="1:21" ht="25.8" customHeight="1" x14ac:dyDescent="0.3">
      <c r="A11" s="55" t="s">
        <v>76</v>
      </c>
      <c r="B11" s="55"/>
      <c r="C11" s="58"/>
      <c r="D11" s="59"/>
      <c r="E11" s="58"/>
      <c r="F11" s="59"/>
      <c r="G11" s="58"/>
      <c r="H11" s="59"/>
      <c r="I11" s="58"/>
      <c r="J11" s="59"/>
      <c r="K11" s="58"/>
      <c r="L11" s="59"/>
      <c r="M11" s="58"/>
      <c r="N11" s="59"/>
      <c r="O11" s="60">
        <f>SUM(C11:N11)</f>
        <v>0</v>
      </c>
      <c r="P11" s="60"/>
    </row>
    <row r="12" spans="1:21" ht="25.8" customHeight="1" x14ac:dyDescent="0.3">
      <c r="A12" s="55" t="s">
        <v>77</v>
      </c>
      <c r="B12" s="55"/>
      <c r="C12" s="58"/>
      <c r="D12" s="59"/>
      <c r="E12" s="58"/>
      <c r="F12" s="59"/>
      <c r="G12" s="58"/>
      <c r="H12" s="59"/>
      <c r="I12" s="58"/>
      <c r="J12" s="59"/>
      <c r="K12" s="58"/>
      <c r="L12" s="59"/>
      <c r="M12" s="58"/>
      <c r="N12" s="59"/>
      <c r="O12" s="60">
        <f t="shared" ref="O12:O13" si="0">SUM(C12:N12)</f>
        <v>0</v>
      </c>
      <c r="P12" s="60"/>
    </row>
    <row r="13" spans="1:21" ht="25.8" customHeight="1" x14ac:dyDescent="0.3">
      <c r="A13" s="55" t="s">
        <v>78</v>
      </c>
      <c r="B13" s="55"/>
      <c r="C13" s="58"/>
      <c r="D13" s="59"/>
      <c r="E13" s="58"/>
      <c r="F13" s="59"/>
      <c r="G13" s="58"/>
      <c r="H13" s="59"/>
      <c r="I13" s="58"/>
      <c r="J13" s="59"/>
      <c r="K13" s="58"/>
      <c r="L13" s="59"/>
      <c r="M13" s="58"/>
      <c r="N13" s="59"/>
      <c r="O13" s="60">
        <f t="shared" si="0"/>
        <v>0</v>
      </c>
      <c r="P13" s="60"/>
    </row>
  </sheetData>
  <mergeCells count="56">
    <mergeCell ref="A13:B13"/>
    <mergeCell ref="C13:D13"/>
    <mergeCell ref="E13:F13"/>
    <mergeCell ref="G13:H13"/>
    <mergeCell ref="I13:J13"/>
    <mergeCell ref="M13:N13"/>
    <mergeCell ref="O13:P13"/>
    <mergeCell ref="M12:N12"/>
    <mergeCell ref="O12:P12"/>
    <mergeCell ref="A11:B11"/>
    <mergeCell ref="E11:F11"/>
    <mergeCell ref="G11:H11"/>
    <mergeCell ref="I11:J11"/>
    <mergeCell ref="K11:L11"/>
    <mergeCell ref="K13:L13"/>
    <mergeCell ref="A12:B12"/>
    <mergeCell ref="C12:D12"/>
    <mergeCell ref="E12:F12"/>
    <mergeCell ref="G12:H12"/>
    <mergeCell ref="I12:J12"/>
    <mergeCell ref="K12:L12"/>
    <mergeCell ref="M10:N10"/>
    <mergeCell ref="O10:P10"/>
    <mergeCell ref="C11:D11"/>
    <mergeCell ref="O11:P11"/>
    <mergeCell ref="A10:B10"/>
    <mergeCell ref="C10:D10"/>
    <mergeCell ref="E10:F10"/>
    <mergeCell ref="G10:H10"/>
    <mergeCell ref="I10:J10"/>
    <mergeCell ref="K10:L10"/>
    <mergeCell ref="M11:N11"/>
    <mergeCell ref="T7:U7"/>
    <mergeCell ref="A9:B9"/>
    <mergeCell ref="C9:D9"/>
    <mergeCell ref="E9:F9"/>
    <mergeCell ref="G9:H9"/>
    <mergeCell ref="I9:J9"/>
    <mergeCell ref="K9:L9"/>
    <mergeCell ref="M9:N9"/>
    <mergeCell ref="O9:P9"/>
    <mergeCell ref="T9:U9"/>
    <mergeCell ref="G6:I6"/>
    <mergeCell ref="L6:N6"/>
    <mergeCell ref="O6:P6"/>
    <mergeCell ref="A7:B7"/>
    <mergeCell ref="D7:F7"/>
    <mergeCell ref="G7:I7"/>
    <mergeCell ref="L7:N7"/>
    <mergeCell ref="O7:P7"/>
    <mergeCell ref="A1:E1"/>
    <mergeCell ref="A2:B2"/>
    <mergeCell ref="A4:B4"/>
    <mergeCell ref="A5:B5"/>
    <mergeCell ref="A6:B6"/>
    <mergeCell ref="D6:F6"/>
  </mergeCells>
  <pageMargins left="0.42" right="0.49" top="0.33" bottom="0.33" header="0.3" footer="0.3"/>
  <pageSetup paperSize="9" scale="7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15BC-8D94-4794-965A-476AFAE6CBEF}">
  <dimension ref="A1:U76"/>
  <sheetViews>
    <sheetView zoomScaleNormal="100" workbookViewId="0">
      <selection activeCell="N28" sqref="N28:P28"/>
    </sheetView>
  </sheetViews>
  <sheetFormatPr defaultRowHeight="14.4" x14ac:dyDescent="0.3"/>
  <cols>
    <col min="1" max="1" width="4.5546875" customWidth="1"/>
    <col min="2" max="2" width="38.44140625" customWidth="1"/>
    <col min="3" max="7" width="11.109375" customWidth="1"/>
    <col min="8" max="8" width="11.109375" style="27" customWidth="1"/>
    <col min="9" max="14" width="11.109375" customWidth="1"/>
    <col min="15" max="15" width="11.21875" customWidth="1"/>
    <col min="16" max="16" width="18.21875" customWidth="1"/>
    <col min="19" max="19" width="0" hidden="1" customWidth="1"/>
    <col min="20" max="20" width="10.109375" hidden="1" customWidth="1"/>
    <col min="21" max="22" width="0" hidden="1" customWidth="1"/>
  </cols>
  <sheetData>
    <row r="1" spans="1:21" ht="26.4" customHeight="1" x14ac:dyDescent="0.3">
      <c r="A1" s="35" t="s">
        <v>63</v>
      </c>
      <c r="B1" s="35"/>
      <c r="C1" s="35"/>
      <c r="D1" s="35"/>
      <c r="E1" s="35"/>
      <c r="F1" s="11"/>
      <c r="G1" s="11"/>
      <c r="H1" s="22"/>
      <c r="I1" s="11"/>
      <c r="J1" s="11"/>
    </row>
    <row r="2" spans="1:21" x14ac:dyDescent="0.3">
      <c r="A2" s="36" t="s">
        <v>73</v>
      </c>
      <c r="B2" s="36"/>
      <c r="C2" s="2"/>
      <c r="D2" s="3"/>
      <c r="E2" s="1"/>
      <c r="F2" s="1"/>
      <c r="G2" s="1"/>
      <c r="H2" s="23"/>
      <c r="I2" s="1"/>
      <c r="J2" s="1"/>
      <c r="K2" s="12"/>
    </row>
    <row r="3" spans="1:21" x14ac:dyDescent="0.3">
      <c r="A3" s="4" t="s">
        <v>74</v>
      </c>
      <c r="B3" s="4"/>
      <c r="C3" s="3"/>
      <c r="D3" s="3"/>
      <c r="E3" s="4"/>
      <c r="F3" s="4"/>
      <c r="G3" s="4"/>
      <c r="H3" s="24"/>
      <c r="I3" s="4"/>
      <c r="J3" s="4"/>
      <c r="K3" s="12"/>
    </row>
    <row r="4" spans="1:21" x14ac:dyDescent="0.3">
      <c r="A4" s="37"/>
      <c r="B4" s="37"/>
      <c r="C4" s="3"/>
      <c r="D4" s="3"/>
      <c r="E4" s="1"/>
      <c r="F4" s="1"/>
      <c r="G4" s="1"/>
      <c r="H4" s="23"/>
      <c r="I4" s="1"/>
      <c r="J4" s="1"/>
    </row>
    <row r="5" spans="1:21" x14ac:dyDescent="0.3">
      <c r="A5" s="38"/>
      <c r="B5" s="38"/>
      <c r="C5" s="3"/>
      <c r="D5" s="3"/>
      <c r="E5" s="1"/>
      <c r="F5" s="1"/>
      <c r="G5" s="1"/>
      <c r="H5" s="23"/>
      <c r="I5" s="1"/>
      <c r="J5" s="1"/>
    </row>
    <row r="6" spans="1:21" ht="16.8" x14ac:dyDescent="0.3">
      <c r="A6" s="39" t="s">
        <v>1</v>
      </c>
      <c r="B6" s="39"/>
      <c r="C6" s="10"/>
      <c r="D6" s="40" t="s">
        <v>2</v>
      </c>
      <c r="E6" s="40"/>
      <c r="F6" s="40"/>
      <c r="G6" s="40" t="s">
        <v>12</v>
      </c>
      <c r="H6" s="40"/>
      <c r="I6" s="40"/>
      <c r="L6" s="40" t="s">
        <v>64</v>
      </c>
      <c r="M6" s="40"/>
      <c r="N6" s="40"/>
      <c r="O6" s="40" t="s">
        <v>65</v>
      </c>
      <c r="P6" s="40"/>
    </row>
    <row r="7" spans="1:21" ht="20.100000000000001" customHeight="1" x14ac:dyDescent="0.3">
      <c r="A7" s="41" t="s">
        <v>147</v>
      </c>
      <c r="B7" s="42"/>
      <c r="C7" s="4"/>
      <c r="D7" s="43" t="s">
        <v>80</v>
      </c>
      <c r="E7" s="44"/>
      <c r="F7" s="45"/>
      <c r="G7" s="46" t="s">
        <v>72</v>
      </c>
      <c r="H7" s="47"/>
      <c r="I7" s="48"/>
      <c r="L7" s="49">
        <f>SUM(C10:P10)</f>
        <v>0</v>
      </c>
      <c r="M7" s="50"/>
      <c r="N7" s="51"/>
      <c r="O7" s="52" t="e">
        <f>L7/T9</f>
        <v>#DIV/0!</v>
      </c>
      <c r="P7" s="53"/>
      <c r="T7" s="54" t="s">
        <v>67</v>
      </c>
      <c r="U7" s="54"/>
    </row>
    <row r="8" spans="1:21" x14ac:dyDescent="0.3">
      <c r="B8" s="3"/>
      <c r="C8" s="3"/>
      <c r="D8" s="3"/>
      <c r="E8" s="3"/>
      <c r="F8" s="3"/>
      <c r="G8" s="3"/>
      <c r="H8" s="23"/>
      <c r="I8" s="1"/>
      <c r="J8" s="1"/>
    </row>
    <row r="9" spans="1:21" ht="25.8" customHeight="1" x14ac:dyDescent="0.3">
      <c r="A9" s="55" t="s">
        <v>69</v>
      </c>
      <c r="B9" s="55"/>
      <c r="C9" s="56" t="s">
        <v>3</v>
      </c>
      <c r="D9" s="56"/>
      <c r="E9" s="56" t="s">
        <v>4</v>
      </c>
      <c r="F9" s="56"/>
      <c r="G9" s="56" t="s">
        <v>5</v>
      </c>
      <c r="H9" s="56"/>
      <c r="I9" s="56" t="s">
        <v>6</v>
      </c>
      <c r="J9" s="56"/>
      <c r="K9" s="56" t="s">
        <v>7</v>
      </c>
      <c r="L9" s="56"/>
      <c r="M9" s="56" t="s">
        <v>8</v>
      </c>
      <c r="N9" s="56"/>
      <c r="O9" s="56" t="s">
        <v>9</v>
      </c>
      <c r="P9" s="56"/>
      <c r="T9" s="57">
        <v>0</v>
      </c>
      <c r="U9" s="57"/>
    </row>
    <row r="10" spans="1:21" ht="25.8" customHeight="1" x14ac:dyDescent="0.3">
      <c r="A10" s="55" t="s">
        <v>68</v>
      </c>
      <c r="B10" s="55"/>
      <c r="C10" s="60">
        <v>0</v>
      </c>
      <c r="D10" s="60"/>
      <c r="E10" s="60">
        <v>0</v>
      </c>
      <c r="F10" s="60"/>
      <c r="G10" s="60">
        <v>0</v>
      </c>
      <c r="H10" s="60"/>
      <c r="I10" s="60">
        <v>0</v>
      </c>
      <c r="J10" s="60"/>
      <c r="K10" s="60">
        <v>0</v>
      </c>
      <c r="L10" s="60"/>
      <c r="M10" s="60">
        <v>0</v>
      </c>
      <c r="N10" s="60"/>
      <c r="O10" s="60">
        <v>0</v>
      </c>
      <c r="P10" s="60"/>
    </row>
    <row r="11" spans="1:21" ht="14.4" customHeight="1" x14ac:dyDescent="0.3">
      <c r="A11" s="28"/>
      <c r="B11" s="28"/>
      <c r="C11" s="29"/>
      <c r="D11" s="29"/>
      <c r="E11" s="28"/>
      <c r="F11" s="29"/>
      <c r="G11" s="29"/>
      <c r="H11" s="29"/>
      <c r="I11" s="29"/>
      <c r="J11" s="28"/>
      <c r="K11" s="29"/>
      <c r="L11" s="29"/>
      <c r="M11" s="29"/>
      <c r="N11" s="29"/>
      <c r="O11" s="28"/>
      <c r="P11" s="28"/>
    </row>
    <row r="12" spans="1:21" ht="27.6" customHeight="1" x14ac:dyDescent="0.3">
      <c r="A12" s="18" t="s">
        <v>11</v>
      </c>
      <c r="B12" s="13" t="s">
        <v>62</v>
      </c>
      <c r="C12" s="66" t="s">
        <v>15</v>
      </c>
      <c r="D12" s="67"/>
      <c r="E12" s="68" t="s">
        <v>14</v>
      </c>
      <c r="F12" s="68"/>
      <c r="G12" s="19" t="s">
        <v>18</v>
      </c>
      <c r="H12" s="26" t="s">
        <v>19</v>
      </c>
      <c r="I12" s="68" t="s">
        <v>20</v>
      </c>
      <c r="J12" s="68"/>
      <c r="K12" s="68"/>
      <c r="L12" s="20" t="s">
        <v>21</v>
      </c>
      <c r="M12" s="19" t="s">
        <v>70</v>
      </c>
      <c r="N12" s="69" t="s">
        <v>16</v>
      </c>
      <c r="O12" s="69"/>
      <c r="P12" s="69"/>
    </row>
    <row r="13" spans="1:21" ht="27.6" customHeight="1" x14ac:dyDescent="0.3">
      <c r="A13" s="14">
        <v>1</v>
      </c>
      <c r="B13" s="17" t="s">
        <v>86</v>
      </c>
      <c r="C13" s="64" t="s">
        <v>87</v>
      </c>
      <c r="D13" s="65"/>
      <c r="E13" s="61"/>
      <c r="F13" s="61"/>
      <c r="G13" s="25">
        <v>46062</v>
      </c>
      <c r="H13" s="25">
        <f t="shared" ref="H13:H14" si="0">G13+7</f>
        <v>46069</v>
      </c>
      <c r="I13" s="62" t="s">
        <v>88</v>
      </c>
      <c r="J13" s="62"/>
      <c r="K13" s="62"/>
      <c r="L13" s="15" t="s">
        <v>51</v>
      </c>
      <c r="M13" s="16">
        <v>0.5</v>
      </c>
      <c r="N13" s="63" t="s">
        <v>146</v>
      </c>
      <c r="O13" s="63"/>
      <c r="P13" s="63"/>
    </row>
    <row r="14" spans="1:21" ht="27.6" customHeight="1" x14ac:dyDescent="0.3">
      <c r="A14" s="14">
        <v>2</v>
      </c>
      <c r="B14" s="17" t="s">
        <v>93</v>
      </c>
      <c r="C14" s="64" t="s">
        <v>95</v>
      </c>
      <c r="D14" s="65"/>
      <c r="E14" s="61"/>
      <c r="F14" s="61"/>
      <c r="G14" s="25">
        <v>46077</v>
      </c>
      <c r="H14" s="25">
        <f t="shared" si="0"/>
        <v>46084</v>
      </c>
      <c r="I14" s="62" t="s">
        <v>94</v>
      </c>
      <c r="J14" s="62"/>
      <c r="K14" s="62"/>
      <c r="L14" s="15" t="s">
        <v>51</v>
      </c>
      <c r="M14" s="16">
        <v>0.5</v>
      </c>
      <c r="N14" s="63" t="s">
        <v>146</v>
      </c>
      <c r="O14" s="63"/>
      <c r="P14" s="63"/>
    </row>
    <row r="15" spans="1:21" ht="27.6" customHeight="1" x14ac:dyDescent="0.3">
      <c r="A15" s="14">
        <v>3</v>
      </c>
      <c r="B15" s="17" t="s">
        <v>96</v>
      </c>
      <c r="C15" s="64" t="s">
        <v>97</v>
      </c>
      <c r="D15" s="65"/>
      <c r="E15" s="61"/>
      <c r="F15" s="61"/>
      <c r="G15" s="25">
        <v>46083</v>
      </c>
      <c r="H15" s="25">
        <f>G15+7</f>
        <v>46090</v>
      </c>
      <c r="I15" s="62" t="s">
        <v>101</v>
      </c>
      <c r="J15" s="62"/>
      <c r="K15" s="62"/>
      <c r="L15" s="15" t="s">
        <v>55</v>
      </c>
      <c r="M15" s="16"/>
      <c r="N15" s="63" t="s">
        <v>150</v>
      </c>
      <c r="O15" s="63"/>
      <c r="P15" s="63"/>
    </row>
    <row r="16" spans="1:21" ht="27.6" customHeight="1" x14ac:dyDescent="0.3">
      <c r="A16" s="14">
        <v>4</v>
      </c>
      <c r="B16" s="17" t="s">
        <v>83</v>
      </c>
      <c r="C16" s="64" t="s">
        <v>98</v>
      </c>
      <c r="D16" s="65"/>
      <c r="E16" s="61"/>
      <c r="F16" s="61"/>
      <c r="G16" s="25">
        <v>46087</v>
      </c>
      <c r="H16" s="25">
        <f t="shared" ref="H16:H17" si="1">G16+7</f>
        <v>46094</v>
      </c>
      <c r="I16" s="62" t="s">
        <v>100</v>
      </c>
      <c r="J16" s="62"/>
      <c r="K16" s="62"/>
      <c r="L16" s="15" t="s">
        <v>51</v>
      </c>
      <c r="M16" s="16">
        <v>0.5</v>
      </c>
      <c r="N16" s="63" t="s">
        <v>146</v>
      </c>
      <c r="O16" s="63"/>
      <c r="P16" s="63"/>
    </row>
    <row r="17" spans="1:16" ht="27.6" customHeight="1" x14ac:dyDescent="0.3">
      <c r="A17" s="14">
        <v>5</v>
      </c>
      <c r="B17" s="17" t="s">
        <v>91</v>
      </c>
      <c r="C17" s="64" t="s">
        <v>99</v>
      </c>
      <c r="D17" s="65"/>
      <c r="E17" s="61"/>
      <c r="F17" s="61"/>
      <c r="G17" s="25">
        <v>46087</v>
      </c>
      <c r="H17" s="25">
        <f t="shared" si="1"/>
        <v>46094</v>
      </c>
      <c r="I17" s="62" t="s">
        <v>102</v>
      </c>
      <c r="J17" s="62"/>
      <c r="K17" s="62"/>
      <c r="L17" s="15" t="s">
        <v>55</v>
      </c>
      <c r="M17" s="16"/>
      <c r="N17" s="63" t="s">
        <v>150</v>
      </c>
      <c r="O17" s="63"/>
      <c r="P17" s="63"/>
    </row>
    <row r="18" spans="1:16" ht="27.6" customHeight="1" x14ac:dyDescent="0.3">
      <c r="A18" s="14">
        <v>6</v>
      </c>
      <c r="B18" s="17" t="s">
        <v>82</v>
      </c>
      <c r="C18" s="64" t="s">
        <v>108</v>
      </c>
      <c r="D18" s="65"/>
      <c r="E18" s="61"/>
      <c r="F18" s="61"/>
      <c r="G18" s="25">
        <v>46090</v>
      </c>
      <c r="H18" s="25">
        <f>G18+24</f>
        <v>46114</v>
      </c>
      <c r="I18" s="62" t="s">
        <v>113</v>
      </c>
      <c r="J18" s="62"/>
      <c r="K18" s="62"/>
      <c r="L18" s="15" t="s">
        <v>51</v>
      </c>
      <c r="M18" s="16">
        <v>0.5</v>
      </c>
      <c r="N18" s="63" t="s">
        <v>177</v>
      </c>
      <c r="O18" s="63"/>
      <c r="P18" s="63"/>
    </row>
    <row r="19" spans="1:16" ht="27.6" customHeight="1" x14ac:dyDescent="0.3">
      <c r="A19" s="14">
        <v>7</v>
      </c>
      <c r="B19" s="17" t="s">
        <v>105</v>
      </c>
      <c r="C19" s="64" t="s">
        <v>109</v>
      </c>
      <c r="D19" s="65"/>
      <c r="E19" s="61"/>
      <c r="F19" s="61"/>
      <c r="G19" s="25">
        <v>46091</v>
      </c>
      <c r="H19" s="25">
        <f t="shared" ref="H19:H22" si="2">G19+7</f>
        <v>46098</v>
      </c>
      <c r="I19" s="62" t="s">
        <v>112</v>
      </c>
      <c r="J19" s="62"/>
      <c r="K19" s="62"/>
      <c r="L19" s="15" t="s">
        <v>51</v>
      </c>
      <c r="M19" s="16">
        <v>0.5</v>
      </c>
      <c r="N19" s="63" t="s">
        <v>146</v>
      </c>
      <c r="O19" s="63"/>
      <c r="P19" s="63"/>
    </row>
    <row r="20" spans="1:16" ht="27.6" customHeight="1" x14ac:dyDescent="0.3">
      <c r="A20" s="14">
        <v>8</v>
      </c>
      <c r="B20" s="17" t="s">
        <v>103</v>
      </c>
      <c r="C20" s="64" t="s">
        <v>110</v>
      </c>
      <c r="D20" s="65"/>
      <c r="E20" s="61"/>
      <c r="F20" s="61"/>
      <c r="G20" s="25">
        <v>46093</v>
      </c>
      <c r="H20" s="25">
        <f>G20+22</f>
        <v>46115</v>
      </c>
      <c r="I20" s="62" t="s">
        <v>148</v>
      </c>
      <c r="J20" s="62"/>
      <c r="K20" s="62"/>
      <c r="L20" s="15" t="s">
        <v>51</v>
      </c>
      <c r="M20" s="16">
        <v>0.5</v>
      </c>
      <c r="N20" s="63" t="s">
        <v>149</v>
      </c>
      <c r="O20" s="63"/>
      <c r="P20" s="63"/>
    </row>
    <row r="21" spans="1:16" ht="50.4" customHeight="1" x14ac:dyDescent="0.3">
      <c r="A21" s="14">
        <v>9</v>
      </c>
      <c r="B21" s="17" t="s">
        <v>114</v>
      </c>
      <c r="C21" s="64" t="s">
        <v>111</v>
      </c>
      <c r="D21" s="65"/>
      <c r="E21" s="61"/>
      <c r="F21" s="61"/>
      <c r="G21" s="25">
        <v>46094</v>
      </c>
      <c r="H21" s="25">
        <f t="shared" si="2"/>
        <v>46101</v>
      </c>
      <c r="I21" s="62" t="s">
        <v>116</v>
      </c>
      <c r="J21" s="62"/>
      <c r="K21" s="62"/>
      <c r="L21" s="15" t="s">
        <v>55</v>
      </c>
      <c r="M21" s="16"/>
      <c r="N21" s="63" t="s">
        <v>169</v>
      </c>
      <c r="O21" s="63"/>
      <c r="P21" s="63"/>
    </row>
    <row r="22" spans="1:16" ht="27.6" customHeight="1" x14ac:dyDescent="0.3">
      <c r="A22" s="14">
        <v>10</v>
      </c>
      <c r="B22" s="17" t="s">
        <v>89</v>
      </c>
      <c r="C22" s="64" t="s">
        <v>117</v>
      </c>
      <c r="D22" s="65"/>
      <c r="E22" s="61"/>
      <c r="F22" s="61"/>
      <c r="G22" s="25">
        <v>46098</v>
      </c>
      <c r="H22" s="25">
        <f t="shared" si="2"/>
        <v>46105</v>
      </c>
      <c r="I22" s="62" t="s">
        <v>137</v>
      </c>
      <c r="J22" s="62"/>
      <c r="K22" s="62"/>
      <c r="L22" s="15" t="s">
        <v>51</v>
      </c>
      <c r="M22" s="16">
        <v>0.5</v>
      </c>
      <c r="N22" s="63" t="s">
        <v>146</v>
      </c>
      <c r="O22" s="63"/>
      <c r="P22" s="63"/>
    </row>
    <row r="23" spans="1:16" ht="27.6" customHeight="1" x14ac:dyDescent="0.3">
      <c r="A23" s="14">
        <v>11</v>
      </c>
      <c r="B23" s="17" t="s">
        <v>84</v>
      </c>
      <c r="C23" s="64" t="s">
        <v>118</v>
      </c>
      <c r="D23" s="65"/>
      <c r="E23" s="61"/>
      <c r="F23" s="61"/>
      <c r="G23" s="25">
        <v>46099</v>
      </c>
      <c r="H23" s="25">
        <f>G23+7</f>
        <v>46106</v>
      </c>
      <c r="I23" s="62" t="s">
        <v>133</v>
      </c>
      <c r="J23" s="62"/>
      <c r="K23" s="62"/>
      <c r="L23" s="15" t="s">
        <v>51</v>
      </c>
      <c r="M23" s="16">
        <v>0.5</v>
      </c>
      <c r="N23" s="63" t="s">
        <v>146</v>
      </c>
      <c r="O23" s="63"/>
      <c r="P23" s="63"/>
    </row>
    <row r="24" spans="1:16" ht="27.6" customHeight="1" x14ac:dyDescent="0.3">
      <c r="A24" s="14">
        <v>12</v>
      </c>
      <c r="B24" s="17" t="s">
        <v>134</v>
      </c>
      <c r="C24" s="64" t="s">
        <v>119</v>
      </c>
      <c r="D24" s="65"/>
      <c r="E24" s="61"/>
      <c r="F24" s="61"/>
      <c r="G24" s="25">
        <v>46099</v>
      </c>
      <c r="H24" s="25">
        <f t="shared" ref="H24" si="3">G24+7</f>
        <v>46106</v>
      </c>
      <c r="I24" s="62" t="s">
        <v>135</v>
      </c>
      <c r="J24" s="62"/>
      <c r="K24" s="62"/>
      <c r="L24" s="15" t="s">
        <v>51</v>
      </c>
      <c r="M24" s="16">
        <v>0.5</v>
      </c>
      <c r="N24" s="63" t="s">
        <v>149</v>
      </c>
      <c r="O24" s="63"/>
      <c r="P24" s="63"/>
    </row>
    <row r="25" spans="1:16" ht="27.6" customHeight="1" x14ac:dyDescent="0.3">
      <c r="A25" s="14">
        <v>13</v>
      </c>
      <c r="B25" s="17" t="s">
        <v>131</v>
      </c>
      <c r="C25" s="64" t="s">
        <v>120</v>
      </c>
      <c r="D25" s="65"/>
      <c r="E25" s="61"/>
      <c r="F25" s="61"/>
      <c r="G25" s="25">
        <v>46099</v>
      </c>
      <c r="H25" s="25">
        <f>G25+7</f>
        <v>46106</v>
      </c>
      <c r="I25" s="62" t="s">
        <v>130</v>
      </c>
      <c r="J25" s="62"/>
      <c r="K25" s="62"/>
      <c r="L25" s="15" t="s">
        <v>51</v>
      </c>
      <c r="M25" s="16">
        <v>0.5</v>
      </c>
      <c r="N25" s="63" t="s">
        <v>146</v>
      </c>
      <c r="O25" s="63"/>
      <c r="P25" s="63"/>
    </row>
    <row r="26" spans="1:16" ht="27.6" customHeight="1" x14ac:dyDescent="0.3">
      <c r="A26" s="14">
        <v>14</v>
      </c>
      <c r="B26" s="17" t="s">
        <v>131</v>
      </c>
      <c r="C26" s="64" t="s">
        <v>121</v>
      </c>
      <c r="D26" s="65"/>
      <c r="E26" s="61"/>
      <c r="F26" s="61"/>
      <c r="G26" s="25">
        <v>46099</v>
      </c>
      <c r="H26" s="25">
        <f>G26+7</f>
        <v>46106</v>
      </c>
      <c r="I26" s="62" t="s">
        <v>132</v>
      </c>
      <c r="J26" s="62"/>
      <c r="K26" s="62"/>
      <c r="L26" s="15" t="s">
        <v>51</v>
      </c>
      <c r="M26" s="16">
        <v>0.5</v>
      </c>
      <c r="N26" s="63" t="s">
        <v>146</v>
      </c>
      <c r="O26" s="63"/>
      <c r="P26" s="63"/>
    </row>
    <row r="27" spans="1:16" ht="27.6" customHeight="1" x14ac:dyDescent="0.3">
      <c r="A27" s="14">
        <v>15</v>
      </c>
      <c r="B27" s="17" t="s">
        <v>104</v>
      </c>
      <c r="C27" s="64" t="s">
        <v>122</v>
      </c>
      <c r="D27" s="65"/>
      <c r="E27" s="61"/>
      <c r="F27" s="61"/>
      <c r="G27" s="25">
        <v>46099</v>
      </c>
      <c r="H27" s="25">
        <f t="shared" ref="H27:H32" si="4">G27+7</f>
        <v>46106</v>
      </c>
      <c r="I27" s="62" t="s">
        <v>136</v>
      </c>
      <c r="J27" s="62"/>
      <c r="K27" s="62"/>
      <c r="L27" s="15" t="s">
        <v>51</v>
      </c>
      <c r="M27" s="16">
        <v>0.5</v>
      </c>
      <c r="N27" s="63" t="s">
        <v>170</v>
      </c>
      <c r="O27" s="63"/>
      <c r="P27" s="63"/>
    </row>
    <row r="28" spans="1:16" ht="27.6" customHeight="1" x14ac:dyDescent="0.3">
      <c r="A28" s="14">
        <v>16</v>
      </c>
      <c r="B28" s="17" t="s">
        <v>90</v>
      </c>
      <c r="C28" s="64" t="s">
        <v>123</v>
      </c>
      <c r="D28" s="65"/>
      <c r="E28" s="61"/>
      <c r="F28" s="61"/>
      <c r="G28" s="25">
        <v>46100</v>
      </c>
      <c r="H28" s="25">
        <f t="shared" si="4"/>
        <v>46107</v>
      </c>
      <c r="I28" s="62" t="s">
        <v>129</v>
      </c>
      <c r="J28" s="62"/>
      <c r="K28" s="62"/>
      <c r="L28" s="15" t="s">
        <v>51</v>
      </c>
      <c r="M28" s="16">
        <v>0.5</v>
      </c>
      <c r="N28" s="63" t="s">
        <v>146</v>
      </c>
      <c r="O28" s="63"/>
      <c r="P28" s="63"/>
    </row>
    <row r="29" spans="1:16" ht="27.6" customHeight="1" x14ac:dyDescent="0.3">
      <c r="A29" s="14">
        <v>17</v>
      </c>
      <c r="B29" s="17" t="s">
        <v>90</v>
      </c>
      <c r="C29" s="64" t="s">
        <v>124</v>
      </c>
      <c r="D29" s="65"/>
      <c r="E29" s="61"/>
      <c r="F29" s="61"/>
      <c r="G29" s="25">
        <v>46100</v>
      </c>
      <c r="H29" s="25">
        <f t="shared" si="4"/>
        <v>46107</v>
      </c>
      <c r="I29" s="62" t="s">
        <v>128</v>
      </c>
      <c r="J29" s="62"/>
      <c r="K29" s="62"/>
      <c r="L29" s="15" t="s">
        <v>51</v>
      </c>
      <c r="M29" s="16">
        <v>0.5</v>
      </c>
      <c r="N29" s="63" t="s">
        <v>146</v>
      </c>
      <c r="O29" s="63"/>
      <c r="P29" s="63"/>
    </row>
    <row r="30" spans="1:16" ht="27.6" customHeight="1" x14ac:dyDescent="0.3">
      <c r="A30" s="14">
        <v>18</v>
      </c>
      <c r="B30" s="17" t="s">
        <v>126</v>
      </c>
      <c r="C30" s="64" t="s">
        <v>125</v>
      </c>
      <c r="D30" s="65"/>
      <c r="E30" s="61"/>
      <c r="F30" s="61"/>
      <c r="G30" s="25">
        <v>46101</v>
      </c>
      <c r="H30" s="25">
        <f t="shared" si="4"/>
        <v>46108</v>
      </c>
      <c r="I30" s="62" t="s">
        <v>127</v>
      </c>
      <c r="J30" s="62"/>
      <c r="K30" s="62"/>
      <c r="L30" s="15" t="s">
        <v>51</v>
      </c>
      <c r="M30" s="16">
        <v>0.5</v>
      </c>
      <c r="N30" s="63" t="s">
        <v>146</v>
      </c>
      <c r="O30" s="63"/>
      <c r="P30" s="63"/>
    </row>
    <row r="31" spans="1:16" ht="27.6" customHeight="1" x14ac:dyDescent="0.3">
      <c r="A31" s="14">
        <v>19</v>
      </c>
      <c r="B31" s="17" t="s">
        <v>89</v>
      </c>
      <c r="C31" s="64" t="s">
        <v>138</v>
      </c>
      <c r="D31" s="65"/>
      <c r="E31" s="61"/>
      <c r="F31" s="61"/>
      <c r="G31" s="25">
        <v>46106</v>
      </c>
      <c r="H31" s="25">
        <f t="shared" si="4"/>
        <v>46113</v>
      </c>
      <c r="I31" s="62" t="s">
        <v>140</v>
      </c>
      <c r="J31" s="62"/>
      <c r="K31" s="62"/>
      <c r="L31" s="15" t="s">
        <v>51</v>
      </c>
      <c r="M31" s="16">
        <v>0.5</v>
      </c>
      <c r="N31" s="63" t="s">
        <v>143</v>
      </c>
      <c r="O31" s="63"/>
      <c r="P31" s="63"/>
    </row>
    <row r="32" spans="1:16" ht="27.6" customHeight="1" x14ac:dyDescent="0.3">
      <c r="A32" s="14">
        <v>20</v>
      </c>
      <c r="B32" s="17" t="s">
        <v>104</v>
      </c>
      <c r="C32" s="64" t="s">
        <v>139</v>
      </c>
      <c r="D32" s="65"/>
      <c r="E32" s="61"/>
      <c r="F32" s="61"/>
      <c r="G32" s="25">
        <v>46108</v>
      </c>
      <c r="H32" s="25">
        <f t="shared" si="4"/>
        <v>46115</v>
      </c>
      <c r="I32" s="62" t="s">
        <v>141</v>
      </c>
      <c r="J32" s="62"/>
      <c r="K32" s="62"/>
      <c r="L32" s="15" t="s">
        <v>51</v>
      </c>
      <c r="M32" s="16">
        <v>0.25</v>
      </c>
      <c r="N32" s="63" t="s">
        <v>142</v>
      </c>
      <c r="O32" s="63"/>
      <c r="P32" s="63"/>
    </row>
    <row r="33" spans="1:16" ht="14.4" customHeight="1" x14ac:dyDescent="0.3">
      <c r="A33" s="28"/>
      <c r="B33" s="28"/>
      <c r="C33" s="29"/>
      <c r="D33" s="29"/>
      <c r="E33" s="28"/>
      <c r="F33" s="29"/>
      <c r="G33" s="29"/>
      <c r="H33" s="29"/>
      <c r="I33" s="29"/>
      <c r="J33" s="28"/>
      <c r="K33" s="29"/>
      <c r="L33" s="29"/>
      <c r="M33" s="29"/>
      <c r="N33" s="29"/>
      <c r="O33" s="28"/>
      <c r="P33" s="28"/>
    </row>
    <row r="34" spans="1:16" ht="27.6" customHeight="1" x14ac:dyDescent="0.3">
      <c r="A34" s="18" t="s">
        <v>11</v>
      </c>
      <c r="B34" s="13" t="s">
        <v>17</v>
      </c>
      <c r="C34" s="66" t="s">
        <v>15</v>
      </c>
      <c r="D34" s="67"/>
      <c r="E34" s="68" t="s">
        <v>14</v>
      </c>
      <c r="F34" s="68"/>
      <c r="G34" s="19" t="s">
        <v>18</v>
      </c>
      <c r="H34" s="26" t="s">
        <v>19</v>
      </c>
      <c r="I34" s="68" t="s">
        <v>20</v>
      </c>
      <c r="J34" s="68"/>
      <c r="K34" s="68"/>
      <c r="L34" s="20" t="s">
        <v>21</v>
      </c>
      <c r="M34" s="19" t="s">
        <v>70</v>
      </c>
      <c r="N34" s="69" t="s">
        <v>16</v>
      </c>
      <c r="O34" s="69"/>
      <c r="P34" s="69"/>
    </row>
    <row r="35" spans="1:16" ht="27.6" customHeight="1" x14ac:dyDescent="0.3">
      <c r="A35" s="14">
        <v>1</v>
      </c>
      <c r="B35" s="17" t="s">
        <v>92</v>
      </c>
      <c r="C35" s="64" t="s">
        <v>171</v>
      </c>
      <c r="D35" s="65"/>
      <c r="E35" s="61"/>
      <c r="F35" s="61"/>
      <c r="G35" s="25">
        <v>46111</v>
      </c>
      <c r="H35" s="25">
        <f>G35+7</f>
        <v>46118</v>
      </c>
      <c r="I35" s="62" t="s">
        <v>174</v>
      </c>
      <c r="J35" s="62"/>
      <c r="K35" s="62"/>
      <c r="L35" s="15" t="s">
        <v>49</v>
      </c>
      <c r="M35" s="16">
        <v>0.5</v>
      </c>
      <c r="N35" s="63"/>
      <c r="O35" s="63"/>
      <c r="P35" s="63"/>
    </row>
    <row r="36" spans="1:16" ht="27.6" customHeight="1" x14ac:dyDescent="0.3">
      <c r="A36" s="14">
        <v>2</v>
      </c>
      <c r="B36" s="17" t="s">
        <v>89</v>
      </c>
      <c r="C36" s="64" t="s">
        <v>172</v>
      </c>
      <c r="D36" s="65"/>
      <c r="E36" s="61"/>
      <c r="F36" s="61"/>
      <c r="G36" s="25">
        <v>46115</v>
      </c>
      <c r="H36" s="25">
        <f>G36+7</f>
        <v>46122</v>
      </c>
      <c r="I36" s="62" t="s">
        <v>175</v>
      </c>
      <c r="J36" s="62"/>
      <c r="K36" s="62"/>
      <c r="L36" s="15" t="s">
        <v>49</v>
      </c>
      <c r="M36" s="16">
        <v>0.5</v>
      </c>
      <c r="N36" s="63"/>
      <c r="O36" s="63"/>
      <c r="P36" s="63"/>
    </row>
    <row r="37" spans="1:16" ht="27.6" customHeight="1" x14ac:dyDescent="0.3">
      <c r="A37" s="14">
        <v>3</v>
      </c>
      <c r="B37" s="17" t="s">
        <v>90</v>
      </c>
      <c r="C37" s="64" t="s">
        <v>173</v>
      </c>
      <c r="D37" s="65"/>
      <c r="E37" s="61"/>
      <c r="F37" s="61"/>
      <c r="G37" s="25">
        <v>46115</v>
      </c>
      <c r="H37" s="25">
        <f>G37+7</f>
        <v>46122</v>
      </c>
      <c r="I37" s="62" t="s">
        <v>176</v>
      </c>
      <c r="J37" s="62"/>
      <c r="K37" s="62"/>
      <c r="L37" s="15" t="s">
        <v>49</v>
      </c>
      <c r="M37" s="16">
        <v>0.5</v>
      </c>
      <c r="N37" s="63"/>
      <c r="O37" s="63"/>
      <c r="P37" s="63"/>
    </row>
    <row r="38" spans="1:16" ht="14.4" customHeight="1" x14ac:dyDescent="0.3">
      <c r="A38" s="28"/>
      <c r="B38" s="28"/>
      <c r="C38" s="29"/>
      <c r="D38" s="29"/>
      <c r="E38" s="28"/>
      <c r="F38" s="29"/>
      <c r="G38" s="29"/>
      <c r="H38" s="29"/>
      <c r="I38" s="29"/>
      <c r="J38" s="28"/>
      <c r="K38" s="29"/>
      <c r="L38" s="29"/>
      <c r="M38" s="29"/>
      <c r="N38" s="29"/>
      <c r="O38" s="28"/>
      <c r="P38" s="28"/>
    </row>
    <row r="39" spans="1:16" ht="27.6" customHeight="1" x14ac:dyDescent="0.3">
      <c r="A39" s="18" t="s">
        <v>11</v>
      </c>
      <c r="B39" s="21" t="s">
        <v>81</v>
      </c>
      <c r="C39" s="56" t="s">
        <v>71</v>
      </c>
      <c r="D39" s="56"/>
      <c r="E39" s="56"/>
      <c r="F39" s="75" t="s">
        <v>0</v>
      </c>
      <c r="G39" s="76"/>
      <c r="H39" s="77" t="s">
        <v>10</v>
      </c>
      <c r="I39" s="77"/>
      <c r="J39" s="56" t="s">
        <v>13</v>
      </c>
      <c r="K39" s="56"/>
      <c r="L39" s="56" t="s">
        <v>22</v>
      </c>
      <c r="M39" s="56"/>
      <c r="N39" s="76" t="s">
        <v>16</v>
      </c>
      <c r="O39" s="76"/>
      <c r="P39" s="76"/>
    </row>
    <row r="40" spans="1:16" ht="28.2" customHeight="1" x14ac:dyDescent="0.3">
      <c r="A40" s="14">
        <v>1</v>
      </c>
      <c r="B40" s="30" t="s">
        <v>151</v>
      </c>
      <c r="C40" s="33" t="s">
        <v>156</v>
      </c>
      <c r="D40" s="34"/>
      <c r="E40" s="34"/>
      <c r="F40" s="33" t="s">
        <v>106</v>
      </c>
      <c r="G40" s="34"/>
      <c r="H40" s="31" t="s">
        <v>161</v>
      </c>
      <c r="I40" s="32"/>
      <c r="J40" s="73"/>
      <c r="K40" s="74"/>
      <c r="L40" s="73"/>
      <c r="M40" s="74"/>
      <c r="N40" s="70" t="s">
        <v>145</v>
      </c>
      <c r="O40" s="71"/>
      <c r="P40" s="72"/>
    </row>
    <row r="41" spans="1:16" ht="28.2" customHeight="1" x14ac:dyDescent="0.3">
      <c r="A41" s="14">
        <v>2</v>
      </c>
      <c r="B41" s="30" t="s">
        <v>152</v>
      </c>
      <c r="C41" s="33" t="s">
        <v>157</v>
      </c>
      <c r="D41" s="34"/>
      <c r="E41" s="34"/>
      <c r="F41" s="33" t="s">
        <v>144</v>
      </c>
      <c r="G41" s="34"/>
      <c r="H41" s="31" t="s">
        <v>162</v>
      </c>
      <c r="I41" s="32"/>
      <c r="J41" s="73"/>
      <c r="K41" s="74"/>
      <c r="L41" s="73"/>
      <c r="M41" s="74"/>
      <c r="N41" s="70" t="s">
        <v>166</v>
      </c>
      <c r="O41" s="71"/>
      <c r="P41" s="72"/>
    </row>
    <row r="42" spans="1:16" ht="38.4" customHeight="1" x14ac:dyDescent="0.3">
      <c r="A42" s="14">
        <v>3</v>
      </c>
      <c r="B42" s="30" t="s">
        <v>153</v>
      </c>
      <c r="C42" s="33" t="s">
        <v>158</v>
      </c>
      <c r="D42" s="34"/>
      <c r="E42" s="34"/>
      <c r="F42" s="33" t="s">
        <v>115</v>
      </c>
      <c r="G42" s="34"/>
      <c r="H42" s="31" t="s">
        <v>163</v>
      </c>
      <c r="I42" s="32"/>
      <c r="J42" s="73"/>
      <c r="K42" s="74"/>
      <c r="L42" s="73"/>
      <c r="M42" s="74"/>
      <c r="N42" s="70" t="s">
        <v>167</v>
      </c>
      <c r="O42" s="71"/>
      <c r="P42" s="72"/>
    </row>
    <row r="43" spans="1:16" ht="28.2" customHeight="1" x14ac:dyDescent="0.3">
      <c r="A43" s="14">
        <v>4</v>
      </c>
      <c r="B43" s="30" t="s">
        <v>154</v>
      </c>
      <c r="C43" s="33" t="s">
        <v>159</v>
      </c>
      <c r="D43" s="34"/>
      <c r="E43" s="34"/>
      <c r="F43" s="33" t="s">
        <v>106</v>
      </c>
      <c r="G43" s="34"/>
      <c r="H43" s="31" t="s">
        <v>164</v>
      </c>
      <c r="I43" s="32"/>
      <c r="J43" s="73"/>
      <c r="K43" s="74"/>
      <c r="L43" s="73"/>
      <c r="M43" s="74"/>
      <c r="N43" s="70" t="s">
        <v>145</v>
      </c>
      <c r="O43" s="71"/>
      <c r="P43" s="72"/>
    </row>
    <row r="44" spans="1:16" ht="28.2" customHeight="1" x14ac:dyDescent="0.3">
      <c r="A44" s="14">
        <v>5</v>
      </c>
      <c r="B44" s="30" t="s">
        <v>155</v>
      </c>
      <c r="C44" s="33" t="s">
        <v>160</v>
      </c>
      <c r="D44" s="34"/>
      <c r="E44" s="34"/>
      <c r="F44" s="33" t="s">
        <v>106</v>
      </c>
      <c r="G44" s="34"/>
      <c r="H44" s="31" t="s">
        <v>165</v>
      </c>
      <c r="I44" s="32"/>
      <c r="J44" s="73"/>
      <c r="K44" s="74"/>
      <c r="L44" s="73"/>
      <c r="M44" s="74"/>
      <c r="N44" s="70" t="s">
        <v>168</v>
      </c>
      <c r="O44" s="71"/>
      <c r="P44" s="72"/>
    </row>
    <row r="45" spans="1:16" ht="14.4" customHeight="1" x14ac:dyDescent="0.3">
      <c r="A45" s="28"/>
      <c r="B45" s="28"/>
      <c r="C45" s="29"/>
      <c r="D45" s="29"/>
      <c r="E45" s="28"/>
      <c r="F45" s="29"/>
      <c r="G45" s="29"/>
      <c r="H45" s="29"/>
      <c r="I45" s="29"/>
      <c r="J45" s="28"/>
      <c r="K45" s="29"/>
      <c r="L45" s="29"/>
      <c r="M45" s="29"/>
      <c r="N45" s="29"/>
      <c r="O45" s="28"/>
      <c r="P45" s="28"/>
    </row>
    <row r="46" spans="1:16" ht="30" hidden="1" customHeight="1" x14ac:dyDescent="0.3">
      <c r="A46" s="18" t="s">
        <v>11</v>
      </c>
      <c r="B46" s="21" t="s">
        <v>107</v>
      </c>
      <c r="C46" s="56" t="s">
        <v>71</v>
      </c>
      <c r="D46" s="56"/>
      <c r="E46" s="56"/>
      <c r="F46" s="75" t="s">
        <v>0</v>
      </c>
      <c r="G46" s="76"/>
      <c r="H46" s="77" t="s">
        <v>10</v>
      </c>
      <c r="I46" s="77"/>
      <c r="J46" s="56" t="s">
        <v>13</v>
      </c>
      <c r="K46" s="56"/>
      <c r="L46" s="56" t="s">
        <v>22</v>
      </c>
      <c r="M46" s="56"/>
      <c r="N46" s="76" t="s">
        <v>16</v>
      </c>
      <c r="O46" s="76"/>
      <c r="P46" s="76"/>
    </row>
    <row r="47" spans="1:16" ht="122.4" hidden="1" customHeight="1" x14ac:dyDescent="0.3">
      <c r="A47" s="14">
        <v>1</v>
      </c>
      <c r="B47" s="30"/>
      <c r="C47" s="33"/>
      <c r="D47" s="34"/>
      <c r="E47" s="34"/>
      <c r="F47" s="33"/>
      <c r="G47" s="34"/>
      <c r="H47" s="31"/>
      <c r="I47" s="32"/>
      <c r="J47" s="74"/>
      <c r="K47" s="78"/>
      <c r="L47" s="74"/>
      <c r="M47" s="78"/>
      <c r="N47" s="70"/>
      <c r="O47" s="71"/>
      <c r="P47" s="72"/>
    </row>
    <row r="53" spans="8:8" x14ac:dyDescent="0.3">
      <c r="H53"/>
    </row>
    <row r="54" spans="8:8" x14ac:dyDescent="0.3">
      <c r="H54"/>
    </row>
    <row r="55" spans="8:8" x14ac:dyDescent="0.3">
      <c r="H55"/>
    </row>
    <row r="56" spans="8:8" x14ac:dyDescent="0.3">
      <c r="H56"/>
    </row>
    <row r="57" spans="8:8" x14ac:dyDescent="0.3">
      <c r="H57"/>
    </row>
    <row r="58" spans="8:8" x14ac:dyDescent="0.3">
      <c r="H58"/>
    </row>
    <row r="59" spans="8:8" x14ac:dyDescent="0.3">
      <c r="H59"/>
    </row>
    <row r="60" spans="8:8" x14ac:dyDescent="0.3">
      <c r="H60"/>
    </row>
    <row r="61" spans="8:8" x14ac:dyDescent="0.3">
      <c r="H61"/>
    </row>
    <row r="62" spans="8:8" x14ac:dyDescent="0.3">
      <c r="H62"/>
    </row>
    <row r="63" spans="8:8" x14ac:dyDescent="0.3">
      <c r="H63"/>
    </row>
    <row r="64" spans="8:8"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sheetData>
  <mergeCells count="162">
    <mergeCell ref="E24:F24"/>
    <mergeCell ref="E25:F25"/>
    <mergeCell ref="I25:K25"/>
    <mergeCell ref="C26:D26"/>
    <mergeCell ref="E26:F26"/>
    <mergeCell ref="I26:K26"/>
    <mergeCell ref="J47:K47"/>
    <mergeCell ref="J43:K43"/>
    <mergeCell ref="C29:D29"/>
    <mergeCell ref="E29:F29"/>
    <mergeCell ref="I29:K29"/>
    <mergeCell ref="C30:D30"/>
    <mergeCell ref="E30:F30"/>
    <mergeCell ref="I30:K30"/>
    <mergeCell ref="C27:D27"/>
    <mergeCell ref="E27:F27"/>
    <mergeCell ref="I27:K27"/>
    <mergeCell ref="C28:D28"/>
    <mergeCell ref="E28:F28"/>
    <mergeCell ref="I28:K28"/>
    <mergeCell ref="C35:D35"/>
    <mergeCell ref="C39:E39"/>
    <mergeCell ref="F39:G39"/>
    <mergeCell ref="H39:I39"/>
    <mergeCell ref="J39:K39"/>
    <mergeCell ref="L39:M39"/>
    <mergeCell ref="N39:P39"/>
    <mergeCell ref="L47:M47"/>
    <mergeCell ref="N47:P47"/>
    <mergeCell ref="C22:D22"/>
    <mergeCell ref="E22:F22"/>
    <mergeCell ref="I22:K22"/>
    <mergeCell ref="C23:D23"/>
    <mergeCell ref="E23:F23"/>
    <mergeCell ref="I23:K23"/>
    <mergeCell ref="C24:D24"/>
    <mergeCell ref="C46:E46"/>
    <mergeCell ref="F46:G46"/>
    <mergeCell ref="H46:I46"/>
    <mergeCell ref="J46:K46"/>
    <mergeCell ref="L46:M46"/>
    <mergeCell ref="N46:P46"/>
    <mergeCell ref="J44:K44"/>
    <mergeCell ref="L44:M44"/>
    <mergeCell ref="N44:P44"/>
    <mergeCell ref="N42:P42"/>
    <mergeCell ref="N43:P43"/>
    <mergeCell ref="N40:P40"/>
    <mergeCell ref="N41:P41"/>
    <mergeCell ref="L43:M43"/>
    <mergeCell ref="J40:K40"/>
    <mergeCell ref="L40:M40"/>
    <mergeCell ref="J41:K41"/>
    <mergeCell ref="L41:M41"/>
    <mergeCell ref="J42:K42"/>
    <mergeCell ref="L42:M42"/>
    <mergeCell ref="C25:D25"/>
    <mergeCell ref="C31:D31"/>
    <mergeCell ref="E35:F35"/>
    <mergeCell ref="I35:K35"/>
    <mergeCell ref="N35:P35"/>
    <mergeCell ref="C37:D37"/>
    <mergeCell ref="E37:F37"/>
    <mergeCell ref="I37:K37"/>
    <mergeCell ref="N37:P37"/>
    <mergeCell ref="N23:P23"/>
    <mergeCell ref="N24:P24"/>
    <mergeCell ref="N25:P25"/>
    <mergeCell ref="N26:P26"/>
    <mergeCell ref="N27:P27"/>
    <mergeCell ref="N28:P28"/>
    <mergeCell ref="N29:P29"/>
    <mergeCell ref="N30:P30"/>
    <mergeCell ref="I24:K24"/>
    <mergeCell ref="C20:D20"/>
    <mergeCell ref="E20:F20"/>
    <mergeCell ref="I20:K20"/>
    <mergeCell ref="N20:P20"/>
    <mergeCell ref="C21:D21"/>
    <mergeCell ref="E21:F21"/>
    <mergeCell ref="I21:K21"/>
    <mergeCell ref="N21:P21"/>
    <mergeCell ref="N22:P22"/>
    <mergeCell ref="C15:D15"/>
    <mergeCell ref="E15:F15"/>
    <mergeCell ref="I15:K15"/>
    <mergeCell ref="N15:P15"/>
    <mergeCell ref="C16:D16"/>
    <mergeCell ref="E16:F16"/>
    <mergeCell ref="I16:K16"/>
    <mergeCell ref="N16:P16"/>
    <mergeCell ref="C19:D19"/>
    <mergeCell ref="E19:F19"/>
    <mergeCell ref="I19:K19"/>
    <mergeCell ref="N19:P19"/>
    <mergeCell ref="C17:D17"/>
    <mergeCell ref="E17:F17"/>
    <mergeCell ref="I17:K17"/>
    <mergeCell ref="N17:P17"/>
    <mergeCell ref="C18:D18"/>
    <mergeCell ref="E18:F18"/>
    <mergeCell ref="I18:K18"/>
    <mergeCell ref="N18:P18"/>
    <mergeCell ref="C14:D14"/>
    <mergeCell ref="E14:F14"/>
    <mergeCell ref="A1:E1"/>
    <mergeCell ref="A2:B2"/>
    <mergeCell ref="A4:B4"/>
    <mergeCell ref="A5:B5"/>
    <mergeCell ref="A6:B6"/>
    <mergeCell ref="D6:F6"/>
    <mergeCell ref="T7:U7"/>
    <mergeCell ref="A9:B9"/>
    <mergeCell ref="C9:D9"/>
    <mergeCell ref="E9:F9"/>
    <mergeCell ref="G9:H9"/>
    <mergeCell ref="I9:J9"/>
    <mergeCell ref="K9:L9"/>
    <mergeCell ref="M9:N9"/>
    <mergeCell ref="O9:P9"/>
    <mergeCell ref="T9:U9"/>
    <mergeCell ref="I14:K14"/>
    <mergeCell ref="N14:P14"/>
    <mergeCell ref="C13:D13"/>
    <mergeCell ref="E13:F13"/>
    <mergeCell ref="I13:K13"/>
    <mergeCell ref="N13:P13"/>
    <mergeCell ref="C12:D12"/>
    <mergeCell ref="E12:F12"/>
    <mergeCell ref="I12:K12"/>
    <mergeCell ref="N12:P12"/>
    <mergeCell ref="A10:B10"/>
    <mergeCell ref="C10:D10"/>
    <mergeCell ref="E10:F10"/>
    <mergeCell ref="G10:H10"/>
    <mergeCell ref="I10:J10"/>
    <mergeCell ref="K10:L10"/>
    <mergeCell ref="G6:I6"/>
    <mergeCell ref="L6:N6"/>
    <mergeCell ref="O6:P6"/>
    <mergeCell ref="A7:B7"/>
    <mergeCell ref="D7:F7"/>
    <mergeCell ref="G7:I7"/>
    <mergeCell ref="L7:N7"/>
    <mergeCell ref="O7:P7"/>
    <mergeCell ref="M10:N10"/>
    <mergeCell ref="O10:P10"/>
    <mergeCell ref="E31:F31"/>
    <mergeCell ref="I31:K31"/>
    <mergeCell ref="N31:P31"/>
    <mergeCell ref="C32:D32"/>
    <mergeCell ref="E32:F32"/>
    <mergeCell ref="I32:K32"/>
    <mergeCell ref="N32:P32"/>
    <mergeCell ref="C36:D36"/>
    <mergeCell ref="E36:F36"/>
    <mergeCell ref="I36:K36"/>
    <mergeCell ref="N36:P36"/>
    <mergeCell ref="C34:D34"/>
    <mergeCell ref="E34:F34"/>
    <mergeCell ref="I34:K34"/>
    <mergeCell ref="N34:P34"/>
  </mergeCells>
  <phoneticPr fontId="15" type="noConversion"/>
  <conditionalFormatting sqref="M13">
    <cfRule type="dataBar" priority="13">
      <dataBar>
        <cfvo type="min"/>
        <cfvo type="max"/>
        <color rgb="FF63C384"/>
      </dataBar>
      <extLst>
        <ext xmlns:x14="http://schemas.microsoft.com/office/spreadsheetml/2009/9/main" uri="{B025F937-C7B1-47D3-B67F-A62EFF666E3E}">
          <x14:id>{06F11906-FB56-4CDD-999B-200BC9881882}</x14:id>
        </ext>
      </extLst>
    </cfRule>
    <cfRule type="colorScale" priority="14">
      <colorScale>
        <cfvo type="min"/>
        <cfvo type="percentile" val="50"/>
        <cfvo type="max"/>
        <color rgb="FF63BE7B"/>
        <color rgb="FFFFEB84"/>
        <color rgb="FFF8696B"/>
      </colorScale>
    </cfRule>
  </conditionalFormatting>
  <conditionalFormatting sqref="M14">
    <cfRule type="dataBar" priority="77">
      <dataBar>
        <cfvo type="min"/>
        <cfvo type="max"/>
        <color rgb="FF63C384"/>
      </dataBar>
      <extLst>
        <ext xmlns:x14="http://schemas.microsoft.com/office/spreadsheetml/2009/9/main" uri="{B025F937-C7B1-47D3-B67F-A62EFF666E3E}">
          <x14:id>{A9E6319B-99F1-4D6F-ABD9-3273E17FCF72}</x14:id>
        </ext>
      </extLst>
    </cfRule>
    <cfRule type="colorScale" priority="78">
      <colorScale>
        <cfvo type="min"/>
        <cfvo type="percentile" val="50"/>
        <cfvo type="max"/>
        <color rgb="FF63BE7B"/>
        <color rgb="FFFFEB84"/>
        <color rgb="FFF8696B"/>
      </colorScale>
    </cfRule>
  </conditionalFormatting>
  <conditionalFormatting sqref="M15:M17">
    <cfRule type="dataBar" priority="11">
      <dataBar>
        <cfvo type="min"/>
        <cfvo type="max"/>
        <color rgb="FF63C384"/>
      </dataBar>
      <extLst>
        <ext xmlns:x14="http://schemas.microsoft.com/office/spreadsheetml/2009/9/main" uri="{B025F937-C7B1-47D3-B67F-A62EFF666E3E}">
          <x14:id>{F107C879-9214-4B93-B7F3-F9145B93C953}</x14:id>
        </ext>
      </extLst>
    </cfRule>
    <cfRule type="colorScale" priority="12">
      <colorScale>
        <cfvo type="min"/>
        <cfvo type="percentile" val="50"/>
        <cfvo type="max"/>
        <color rgb="FF63BE7B"/>
        <color rgb="FFFFEB84"/>
        <color rgb="FFF8696B"/>
      </colorScale>
    </cfRule>
  </conditionalFormatting>
  <conditionalFormatting sqref="M18:M21">
    <cfRule type="dataBar" priority="71">
      <dataBar>
        <cfvo type="min"/>
        <cfvo type="max"/>
        <color rgb="FF63C384"/>
      </dataBar>
      <extLst>
        <ext xmlns:x14="http://schemas.microsoft.com/office/spreadsheetml/2009/9/main" uri="{B025F937-C7B1-47D3-B67F-A62EFF666E3E}">
          <x14:id>{ABBA5E7B-7E47-419F-BCD6-4C6401665256}</x14:id>
        </ext>
      </extLst>
    </cfRule>
    <cfRule type="colorScale" priority="72">
      <colorScale>
        <cfvo type="min"/>
        <cfvo type="percentile" val="50"/>
        <cfvo type="max"/>
        <color rgb="FF63BE7B"/>
        <color rgb="FFFFEB84"/>
        <color rgb="FFF8696B"/>
      </colorScale>
    </cfRule>
  </conditionalFormatting>
  <conditionalFormatting sqref="M22:M30">
    <cfRule type="dataBar" priority="3">
      <dataBar>
        <cfvo type="min"/>
        <cfvo type="max"/>
        <color rgb="FF63C384"/>
      </dataBar>
      <extLst>
        <ext xmlns:x14="http://schemas.microsoft.com/office/spreadsheetml/2009/9/main" uri="{B025F937-C7B1-47D3-B67F-A62EFF666E3E}">
          <x14:id>{6C466FAA-04D9-4438-90E3-B812C5D7C8EF}</x14:id>
        </ext>
      </extLst>
    </cfRule>
    <cfRule type="colorScale" priority="4">
      <colorScale>
        <cfvo type="min"/>
        <cfvo type="percentile" val="50"/>
        <cfvo type="max"/>
        <color rgb="FF63BE7B"/>
        <color rgb="FFFFEB84"/>
        <color rgb="FFF8696B"/>
      </colorScale>
    </cfRule>
  </conditionalFormatting>
  <conditionalFormatting sqref="M31:M32">
    <cfRule type="dataBar" priority="1">
      <dataBar>
        <cfvo type="min"/>
        <cfvo type="max"/>
        <color rgb="FF63C384"/>
      </dataBar>
      <extLst>
        <ext xmlns:x14="http://schemas.microsoft.com/office/spreadsheetml/2009/9/main" uri="{B025F937-C7B1-47D3-B67F-A62EFF666E3E}">
          <x14:id>{C262B93B-7BC5-47AA-92F0-ECC2FCBDBF92}</x14:id>
        </ext>
      </extLst>
    </cfRule>
    <cfRule type="colorScale" priority="2">
      <colorScale>
        <cfvo type="min"/>
        <cfvo type="percentile" val="50"/>
        <cfvo type="max"/>
        <color rgb="FF63BE7B"/>
        <color rgb="FFFFEB84"/>
        <color rgb="FFF8696B"/>
      </colorScale>
    </cfRule>
  </conditionalFormatting>
  <conditionalFormatting sqref="M35:M37">
    <cfRule type="dataBar" priority="79">
      <dataBar>
        <cfvo type="min"/>
        <cfvo type="max"/>
        <color rgb="FF63C384"/>
      </dataBar>
      <extLst>
        <ext xmlns:x14="http://schemas.microsoft.com/office/spreadsheetml/2009/9/main" uri="{B025F937-C7B1-47D3-B67F-A62EFF666E3E}">
          <x14:id>{BDDF7975-D50A-41AF-8002-CE8F2D14DD0C}</x14:id>
        </ext>
      </extLst>
    </cfRule>
    <cfRule type="colorScale" priority="80">
      <colorScale>
        <cfvo type="min"/>
        <cfvo type="percentile" val="50"/>
        <cfvo type="max"/>
        <color rgb="FF63BE7B"/>
        <color rgb="FFFFEB84"/>
        <color rgb="FFF8696B"/>
      </colorScale>
    </cfRule>
  </conditionalFormatting>
  <pageMargins left="0.42" right="0.49" top="0.33" bottom="0.33" header="0.3" footer="0.3"/>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06F11906-FB56-4CDD-999B-200BC9881882}">
            <x14:dataBar minLength="0" maxLength="100" border="1" negativeBarBorderColorSameAsPositive="0">
              <x14:cfvo type="autoMin"/>
              <x14:cfvo type="autoMax"/>
              <x14:borderColor rgb="FF63C384"/>
              <x14:negativeFillColor rgb="FFFF0000"/>
              <x14:negativeBorderColor rgb="FFFF0000"/>
              <x14:axisColor rgb="FF000000"/>
            </x14:dataBar>
          </x14:cfRule>
          <xm:sqref>M13</xm:sqref>
        </x14:conditionalFormatting>
        <x14:conditionalFormatting xmlns:xm="http://schemas.microsoft.com/office/excel/2006/main">
          <x14:cfRule type="dataBar" id="{A9E6319B-99F1-4D6F-ABD9-3273E17FCF72}">
            <x14:dataBar minLength="0" maxLength="100" border="1" negativeBarBorderColorSameAsPositive="0">
              <x14:cfvo type="autoMin"/>
              <x14:cfvo type="autoMax"/>
              <x14:borderColor rgb="FF63C384"/>
              <x14:negativeFillColor rgb="FFFF0000"/>
              <x14:negativeBorderColor rgb="FFFF0000"/>
              <x14:axisColor rgb="FF000000"/>
            </x14:dataBar>
          </x14:cfRule>
          <xm:sqref>M14</xm:sqref>
        </x14:conditionalFormatting>
        <x14:conditionalFormatting xmlns:xm="http://schemas.microsoft.com/office/excel/2006/main">
          <x14:cfRule type="dataBar" id="{F107C879-9214-4B93-B7F3-F9145B93C953}">
            <x14:dataBar minLength="0" maxLength="100" border="1" negativeBarBorderColorSameAsPositive="0">
              <x14:cfvo type="autoMin"/>
              <x14:cfvo type="autoMax"/>
              <x14:borderColor rgb="FF63C384"/>
              <x14:negativeFillColor rgb="FFFF0000"/>
              <x14:negativeBorderColor rgb="FFFF0000"/>
              <x14:axisColor rgb="FF000000"/>
            </x14:dataBar>
          </x14:cfRule>
          <xm:sqref>M15:M17</xm:sqref>
        </x14:conditionalFormatting>
        <x14:conditionalFormatting xmlns:xm="http://schemas.microsoft.com/office/excel/2006/main">
          <x14:cfRule type="dataBar" id="{ABBA5E7B-7E47-419F-BCD6-4C6401665256}">
            <x14:dataBar minLength="0" maxLength="100" border="1" negativeBarBorderColorSameAsPositive="0">
              <x14:cfvo type="autoMin"/>
              <x14:cfvo type="autoMax"/>
              <x14:borderColor rgb="FF63C384"/>
              <x14:negativeFillColor rgb="FFFF0000"/>
              <x14:negativeBorderColor rgb="FFFF0000"/>
              <x14:axisColor rgb="FF000000"/>
            </x14:dataBar>
          </x14:cfRule>
          <xm:sqref>M18:M21</xm:sqref>
        </x14:conditionalFormatting>
        <x14:conditionalFormatting xmlns:xm="http://schemas.microsoft.com/office/excel/2006/main">
          <x14:cfRule type="dataBar" id="{6C466FAA-04D9-4438-90E3-B812C5D7C8EF}">
            <x14:dataBar minLength="0" maxLength="100" border="1" negativeBarBorderColorSameAsPositive="0">
              <x14:cfvo type="autoMin"/>
              <x14:cfvo type="autoMax"/>
              <x14:borderColor rgb="FF63C384"/>
              <x14:negativeFillColor rgb="FFFF0000"/>
              <x14:negativeBorderColor rgb="FFFF0000"/>
              <x14:axisColor rgb="FF000000"/>
            </x14:dataBar>
          </x14:cfRule>
          <xm:sqref>M22:M30</xm:sqref>
        </x14:conditionalFormatting>
        <x14:conditionalFormatting xmlns:xm="http://schemas.microsoft.com/office/excel/2006/main">
          <x14:cfRule type="dataBar" id="{C262B93B-7BC5-47AA-92F0-ECC2FCBDBF92}">
            <x14:dataBar minLength="0" maxLength="100" border="1" negativeBarBorderColorSameAsPositive="0">
              <x14:cfvo type="autoMin"/>
              <x14:cfvo type="autoMax"/>
              <x14:borderColor rgb="FF63C384"/>
              <x14:negativeFillColor rgb="FFFF0000"/>
              <x14:negativeBorderColor rgb="FFFF0000"/>
              <x14:axisColor rgb="FF000000"/>
            </x14:dataBar>
          </x14:cfRule>
          <xm:sqref>M31:M32</xm:sqref>
        </x14:conditionalFormatting>
        <x14:conditionalFormatting xmlns:xm="http://schemas.microsoft.com/office/excel/2006/main">
          <x14:cfRule type="dataBar" id="{BDDF7975-D50A-41AF-8002-CE8F2D14DD0C}">
            <x14:dataBar minLength="0" maxLength="100" border="1" negativeBarBorderColorSameAsPositive="0">
              <x14:cfvo type="autoMin"/>
              <x14:cfvo type="autoMax"/>
              <x14:borderColor rgb="FF63C384"/>
              <x14:negativeFillColor rgb="FFFF0000"/>
              <x14:negativeBorderColor rgb="FFFF0000"/>
              <x14:axisColor rgb="FF000000"/>
            </x14:dataBar>
          </x14:cfRule>
          <xm:sqref>M35:M37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B82A94-5307-46D2-B5BF-B9A5B48541E0}">
          <x14:formula1>
            <xm:f>Definitions!$B$19:$B$25</xm:f>
          </x14:formula1>
          <xm:sqref>L13:L32 L35:L38</xm:sqref>
        </x14:dataValidation>
        <x14:dataValidation type="list" allowBlank="1" showInputMessage="1" showErrorMessage="1" xr:uid="{96ECF22B-1878-492E-8AE0-8F32D1AEF34B}">
          <x14:formula1>
            <xm:f>Definitions!$B$28:$B$31</xm:f>
          </x14:formula1>
          <xm:sqref>M13:M32 M35:M38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05B50-84A6-4A7D-A2C2-3CA653FCCE22}">
  <dimension ref="A1:U80"/>
  <sheetViews>
    <sheetView tabSelected="1" zoomScaleNormal="100" workbookViewId="0">
      <selection activeCell="H21" sqref="H21"/>
    </sheetView>
  </sheetViews>
  <sheetFormatPr defaultRowHeight="14.4" x14ac:dyDescent="0.3"/>
  <cols>
    <col min="1" max="1" width="4.5546875" customWidth="1"/>
    <col min="2" max="2" width="38.44140625" customWidth="1"/>
    <col min="3" max="7" width="11.109375" customWidth="1"/>
    <col min="8" max="8" width="11.109375" style="27" customWidth="1"/>
    <col min="9" max="14" width="11.109375" customWidth="1"/>
    <col min="15" max="15" width="11.21875" customWidth="1"/>
    <col min="16" max="16" width="18.21875" customWidth="1"/>
    <col min="19" max="19" width="0" hidden="1" customWidth="1"/>
    <col min="20" max="20" width="10.109375" hidden="1" customWidth="1"/>
    <col min="21" max="22" width="0" hidden="1" customWidth="1"/>
  </cols>
  <sheetData>
    <row r="1" spans="1:21" ht="26.4" customHeight="1" x14ac:dyDescent="0.3">
      <c r="A1" s="35" t="s">
        <v>63</v>
      </c>
      <c r="B1" s="35"/>
      <c r="C1" s="35"/>
      <c r="D1" s="35"/>
      <c r="E1" s="35"/>
      <c r="F1" s="11"/>
      <c r="G1" s="11"/>
      <c r="H1" s="22"/>
      <c r="I1" s="11"/>
      <c r="J1" s="11"/>
    </row>
    <row r="2" spans="1:21" x14ac:dyDescent="0.3">
      <c r="A2" s="36" t="s">
        <v>73</v>
      </c>
      <c r="B2" s="36"/>
      <c r="C2" s="2"/>
      <c r="D2" s="3"/>
      <c r="E2" s="1"/>
      <c r="F2" s="1"/>
      <c r="G2" s="1"/>
      <c r="H2" s="23"/>
      <c r="I2" s="1"/>
      <c r="J2" s="1"/>
      <c r="K2" s="12"/>
    </row>
    <row r="3" spans="1:21" x14ac:dyDescent="0.3">
      <c r="A3" s="4" t="s">
        <v>74</v>
      </c>
      <c r="B3" s="4"/>
      <c r="C3" s="3"/>
      <c r="D3" s="3"/>
      <c r="E3" s="4"/>
      <c r="F3" s="4"/>
      <c r="G3" s="4"/>
      <c r="H3" s="24"/>
      <c r="I3" s="4"/>
      <c r="J3" s="4"/>
      <c r="K3" s="12"/>
    </row>
    <row r="4" spans="1:21" x14ac:dyDescent="0.3">
      <c r="A4" s="37"/>
      <c r="B4" s="37"/>
      <c r="C4" s="3"/>
      <c r="D4" s="3"/>
      <c r="E4" s="1"/>
      <c r="F4" s="1"/>
      <c r="G4" s="1"/>
      <c r="H4" s="23"/>
      <c r="I4" s="1"/>
      <c r="J4" s="1"/>
    </row>
    <row r="5" spans="1:21" x14ac:dyDescent="0.3">
      <c r="A5" s="38"/>
      <c r="B5" s="38"/>
      <c r="C5" s="3"/>
      <c r="D5" s="3"/>
      <c r="E5" s="1"/>
      <c r="F5" s="1"/>
      <c r="G5" s="1"/>
      <c r="H5" s="23"/>
      <c r="I5" s="1"/>
      <c r="J5" s="1"/>
    </row>
    <row r="6" spans="1:21" ht="16.8" x14ac:dyDescent="0.3">
      <c r="A6" s="39" t="s">
        <v>1</v>
      </c>
      <c r="B6" s="39"/>
      <c r="C6" s="10"/>
      <c r="D6" s="40" t="s">
        <v>2</v>
      </c>
      <c r="E6" s="40"/>
      <c r="F6" s="40"/>
      <c r="G6" s="40" t="s">
        <v>12</v>
      </c>
      <c r="H6" s="40"/>
      <c r="I6" s="40"/>
      <c r="L6" s="40" t="s">
        <v>64</v>
      </c>
      <c r="M6" s="40"/>
      <c r="N6" s="40"/>
      <c r="O6" s="40" t="s">
        <v>65</v>
      </c>
      <c r="P6" s="40"/>
    </row>
    <row r="7" spans="1:21" ht="20.100000000000001" customHeight="1" x14ac:dyDescent="0.3">
      <c r="A7" s="41" t="s">
        <v>180</v>
      </c>
      <c r="B7" s="42"/>
      <c r="C7" s="4"/>
      <c r="D7" s="43" t="s">
        <v>80</v>
      </c>
      <c r="E7" s="44"/>
      <c r="F7" s="45"/>
      <c r="G7" s="46" t="s">
        <v>72</v>
      </c>
      <c r="H7" s="47"/>
      <c r="I7" s="48"/>
      <c r="L7" s="49">
        <f>SUM(C10:P10)</f>
        <v>8850</v>
      </c>
      <c r="M7" s="50"/>
      <c r="N7" s="51"/>
      <c r="O7" s="52" t="e">
        <f>L7/T9</f>
        <v>#DIV/0!</v>
      </c>
      <c r="P7" s="53"/>
      <c r="T7" s="54" t="s">
        <v>67</v>
      </c>
      <c r="U7" s="54"/>
    </row>
    <row r="8" spans="1:21" x14ac:dyDescent="0.3">
      <c r="B8" s="3"/>
      <c r="C8" s="3"/>
      <c r="D8" s="3"/>
      <c r="E8" s="3"/>
      <c r="F8" s="3"/>
      <c r="G8" s="3"/>
      <c r="H8" s="23"/>
      <c r="I8" s="1"/>
      <c r="J8" s="1"/>
    </row>
    <row r="9" spans="1:21" ht="25.8" customHeight="1" x14ac:dyDescent="0.3">
      <c r="A9" s="55" t="s">
        <v>69</v>
      </c>
      <c r="B9" s="55"/>
      <c r="C9" s="56" t="s">
        <v>3</v>
      </c>
      <c r="D9" s="56"/>
      <c r="E9" s="56" t="s">
        <v>4</v>
      </c>
      <c r="F9" s="56"/>
      <c r="G9" s="56" t="s">
        <v>5</v>
      </c>
      <c r="H9" s="56"/>
      <c r="I9" s="56" t="s">
        <v>6</v>
      </c>
      <c r="J9" s="56"/>
      <c r="K9" s="56" t="s">
        <v>7</v>
      </c>
      <c r="L9" s="56"/>
      <c r="M9" s="56" t="s">
        <v>8</v>
      </c>
      <c r="N9" s="56"/>
      <c r="O9" s="56" t="s">
        <v>9</v>
      </c>
      <c r="P9" s="56"/>
      <c r="T9" s="57">
        <v>0</v>
      </c>
      <c r="U9" s="57"/>
    </row>
    <row r="10" spans="1:21" ht="25.8" customHeight="1" x14ac:dyDescent="0.3">
      <c r="A10" s="55" t="s">
        <v>68</v>
      </c>
      <c r="B10" s="55"/>
      <c r="C10" s="60">
        <v>0</v>
      </c>
      <c r="D10" s="60"/>
      <c r="E10" s="60">
        <v>8850</v>
      </c>
      <c r="F10" s="60"/>
      <c r="G10" s="60">
        <v>0</v>
      </c>
      <c r="H10" s="60"/>
      <c r="I10" s="60">
        <v>0</v>
      </c>
      <c r="J10" s="60"/>
      <c r="K10" s="60">
        <v>0</v>
      </c>
      <c r="L10" s="60"/>
      <c r="M10" s="60">
        <v>0</v>
      </c>
      <c r="N10" s="60"/>
      <c r="O10" s="60">
        <v>0</v>
      </c>
      <c r="P10" s="60"/>
    </row>
    <row r="11" spans="1:21" ht="14.4" customHeight="1" x14ac:dyDescent="0.3">
      <c r="A11" s="28"/>
      <c r="B11" s="28"/>
      <c r="C11" s="29"/>
      <c r="D11" s="29"/>
      <c r="E11" s="28"/>
      <c r="F11" s="29"/>
      <c r="G11" s="29"/>
      <c r="H11" s="29"/>
      <c r="I11" s="29"/>
      <c r="J11" s="28"/>
      <c r="K11" s="29"/>
      <c r="L11" s="29"/>
      <c r="M11" s="29"/>
      <c r="N11" s="29"/>
      <c r="O11" s="28"/>
      <c r="P11" s="28"/>
    </row>
    <row r="12" spans="1:21" ht="27.6" customHeight="1" x14ac:dyDescent="0.3">
      <c r="A12" s="18" t="s">
        <v>11</v>
      </c>
      <c r="B12" s="13" t="s">
        <v>62</v>
      </c>
      <c r="C12" s="66" t="s">
        <v>15</v>
      </c>
      <c r="D12" s="67"/>
      <c r="E12" s="68" t="s">
        <v>14</v>
      </c>
      <c r="F12" s="68"/>
      <c r="G12" s="19" t="s">
        <v>18</v>
      </c>
      <c r="H12" s="26" t="s">
        <v>19</v>
      </c>
      <c r="I12" s="68" t="s">
        <v>20</v>
      </c>
      <c r="J12" s="68"/>
      <c r="K12" s="68"/>
      <c r="L12" s="20" t="s">
        <v>21</v>
      </c>
      <c r="M12" s="19" t="s">
        <v>70</v>
      </c>
      <c r="N12" s="69" t="s">
        <v>16</v>
      </c>
      <c r="O12" s="69"/>
      <c r="P12" s="69"/>
    </row>
    <row r="13" spans="1:21" ht="47.4" customHeight="1" x14ac:dyDescent="0.3">
      <c r="A13" s="14">
        <v>1</v>
      </c>
      <c r="B13" s="17" t="s">
        <v>86</v>
      </c>
      <c r="C13" s="64" t="s">
        <v>87</v>
      </c>
      <c r="D13" s="65"/>
      <c r="E13" s="61"/>
      <c r="F13" s="61"/>
      <c r="G13" s="25">
        <v>46062</v>
      </c>
      <c r="H13" s="25">
        <f t="shared" ref="H13:H14" si="0">G13+7</f>
        <v>46069</v>
      </c>
      <c r="I13" s="62" t="s">
        <v>88</v>
      </c>
      <c r="J13" s="62"/>
      <c r="K13" s="62"/>
      <c r="L13" s="15" t="s">
        <v>51</v>
      </c>
      <c r="M13" s="16">
        <v>0.5</v>
      </c>
      <c r="N13" s="63" t="s">
        <v>146</v>
      </c>
      <c r="O13" s="63"/>
      <c r="P13" s="63"/>
    </row>
    <row r="14" spans="1:21" ht="27.6" customHeight="1" x14ac:dyDescent="0.3">
      <c r="A14" s="14">
        <v>2</v>
      </c>
      <c r="B14" s="17" t="s">
        <v>93</v>
      </c>
      <c r="C14" s="64" t="s">
        <v>95</v>
      </c>
      <c r="D14" s="65"/>
      <c r="E14" s="61"/>
      <c r="F14" s="61"/>
      <c r="G14" s="25">
        <v>46077</v>
      </c>
      <c r="H14" s="25">
        <f t="shared" si="0"/>
        <v>46084</v>
      </c>
      <c r="I14" s="62" t="s">
        <v>94</v>
      </c>
      <c r="J14" s="62"/>
      <c r="K14" s="62"/>
      <c r="L14" s="15" t="s">
        <v>55</v>
      </c>
      <c r="M14" s="16"/>
      <c r="N14" s="63" t="s">
        <v>228</v>
      </c>
      <c r="O14" s="63"/>
      <c r="P14" s="63"/>
    </row>
    <row r="15" spans="1:21" ht="27.6" customHeight="1" x14ac:dyDescent="0.3">
      <c r="A15" s="14">
        <v>3</v>
      </c>
      <c r="B15" s="17" t="s">
        <v>83</v>
      </c>
      <c r="C15" s="64" t="s">
        <v>98</v>
      </c>
      <c r="D15" s="65"/>
      <c r="E15" s="61"/>
      <c r="F15" s="61"/>
      <c r="G15" s="25">
        <v>46087</v>
      </c>
      <c r="H15" s="25">
        <f t="shared" ref="H15" si="1">G15+7</f>
        <v>46094</v>
      </c>
      <c r="I15" s="62" t="s">
        <v>100</v>
      </c>
      <c r="J15" s="62"/>
      <c r="K15" s="62"/>
      <c r="L15" s="15" t="s">
        <v>51</v>
      </c>
      <c r="M15" s="16">
        <v>0.5</v>
      </c>
      <c r="N15" s="63" t="s">
        <v>146</v>
      </c>
      <c r="O15" s="63"/>
      <c r="P15" s="63"/>
    </row>
    <row r="16" spans="1:21" ht="27.6" customHeight="1" x14ac:dyDescent="0.3">
      <c r="A16" s="14">
        <v>4</v>
      </c>
      <c r="B16" s="17" t="s">
        <v>82</v>
      </c>
      <c r="C16" s="64" t="s">
        <v>108</v>
      </c>
      <c r="D16" s="65"/>
      <c r="E16" s="61"/>
      <c r="F16" s="61"/>
      <c r="G16" s="25">
        <v>46090</v>
      </c>
      <c r="H16" s="25">
        <f>G16+24</f>
        <v>46114</v>
      </c>
      <c r="I16" s="62" t="s">
        <v>113</v>
      </c>
      <c r="J16" s="62"/>
      <c r="K16" s="62"/>
      <c r="L16" s="15" t="s">
        <v>51</v>
      </c>
      <c r="M16" s="16">
        <v>0.5</v>
      </c>
      <c r="N16" s="63" t="s">
        <v>177</v>
      </c>
      <c r="O16" s="63"/>
      <c r="P16" s="63"/>
    </row>
    <row r="17" spans="1:16" ht="27.6" customHeight="1" x14ac:dyDescent="0.3">
      <c r="A17" s="14">
        <v>5</v>
      </c>
      <c r="B17" s="17" t="s">
        <v>105</v>
      </c>
      <c r="C17" s="64" t="s">
        <v>109</v>
      </c>
      <c r="D17" s="65"/>
      <c r="E17" s="61"/>
      <c r="F17" s="61"/>
      <c r="G17" s="25">
        <v>46091</v>
      </c>
      <c r="H17" s="25">
        <f t="shared" ref="H17:H19" si="2">G17+7</f>
        <v>46098</v>
      </c>
      <c r="I17" s="62" t="s">
        <v>112</v>
      </c>
      <c r="J17" s="62"/>
      <c r="K17" s="62"/>
      <c r="L17" s="15" t="s">
        <v>51</v>
      </c>
      <c r="M17" s="16">
        <v>0.5</v>
      </c>
      <c r="N17" s="63" t="s">
        <v>146</v>
      </c>
      <c r="O17" s="63"/>
      <c r="P17" s="63"/>
    </row>
    <row r="18" spans="1:16" ht="27.6" customHeight="1" x14ac:dyDescent="0.3">
      <c r="A18" s="14">
        <v>6</v>
      </c>
      <c r="B18" s="17" t="s">
        <v>103</v>
      </c>
      <c r="C18" s="64" t="s">
        <v>110</v>
      </c>
      <c r="D18" s="65"/>
      <c r="E18" s="61" t="s">
        <v>178</v>
      </c>
      <c r="F18" s="61"/>
      <c r="G18" s="25">
        <v>46093</v>
      </c>
      <c r="H18" s="25">
        <f>G18+22</f>
        <v>46115</v>
      </c>
      <c r="I18" s="62" t="s">
        <v>232</v>
      </c>
      <c r="J18" s="62"/>
      <c r="K18" s="62"/>
      <c r="L18" s="15" t="s">
        <v>23</v>
      </c>
      <c r="M18" s="16" t="s">
        <v>24</v>
      </c>
      <c r="N18" s="63" t="s">
        <v>179</v>
      </c>
      <c r="O18" s="63"/>
      <c r="P18" s="63"/>
    </row>
    <row r="19" spans="1:16" ht="27.6" customHeight="1" x14ac:dyDescent="0.3">
      <c r="A19" s="14">
        <v>7</v>
      </c>
      <c r="B19" s="17" t="s">
        <v>89</v>
      </c>
      <c r="C19" s="64" t="s">
        <v>117</v>
      </c>
      <c r="D19" s="65"/>
      <c r="E19" s="61"/>
      <c r="F19" s="61"/>
      <c r="G19" s="25">
        <v>46098</v>
      </c>
      <c r="H19" s="25">
        <f t="shared" si="2"/>
        <v>46105</v>
      </c>
      <c r="I19" s="62" t="s">
        <v>137</v>
      </c>
      <c r="J19" s="62"/>
      <c r="K19" s="62"/>
      <c r="L19" s="15" t="s">
        <v>51</v>
      </c>
      <c r="M19" s="16">
        <v>0.5</v>
      </c>
      <c r="N19" s="63" t="s">
        <v>146</v>
      </c>
      <c r="O19" s="63"/>
      <c r="P19" s="63"/>
    </row>
    <row r="20" spans="1:16" ht="27.6" customHeight="1" x14ac:dyDescent="0.3">
      <c r="A20" s="14">
        <v>8</v>
      </c>
      <c r="B20" s="17" t="s">
        <v>84</v>
      </c>
      <c r="C20" s="64" t="s">
        <v>118</v>
      </c>
      <c r="D20" s="65"/>
      <c r="E20" s="61"/>
      <c r="F20" s="61"/>
      <c r="G20" s="25">
        <v>46099</v>
      </c>
      <c r="H20" s="25">
        <f>G20+7</f>
        <v>46106</v>
      </c>
      <c r="I20" s="62" t="s">
        <v>133</v>
      </c>
      <c r="J20" s="62"/>
      <c r="K20" s="62"/>
      <c r="L20" s="15" t="s">
        <v>55</v>
      </c>
      <c r="M20" s="16"/>
      <c r="N20" s="63" t="s">
        <v>230</v>
      </c>
      <c r="O20" s="63"/>
      <c r="P20" s="63"/>
    </row>
    <row r="21" spans="1:16" ht="27.6" customHeight="1" x14ac:dyDescent="0.3">
      <c r="A21" s="14">
        <v>9</v>
      </c>
      <c r="B21" s="17" t="s">
        <v>134</v>
      </c>
      <c r="C21" s="64" t="s">
        <v>119</v>
      </c>
      <c r="D21" s="65"/>
      <c r="E21" s="61"/>
      <c r="F21" s="61"/>
      <c r="G21" s="25">
        <v>46099</v>
      </c>
      <c r="H21" s="25">
        <f t="shared" ref="H21" si="3">G21+7</f>
        <v>46106</v>
      </c>
      <c r="I21" s="62" t="s">
        <v>135</v>
      </c>
      <c r="J21" s="62"/>
      <c r="K21" s="62"/>
      <c r="L21" s="15" t="s">
        <v>51</v>
      </c>
      <c r="M21" s="16">
        <v>0.5</v>
      </c>
      <c r="N21" s="63" t="s">
        <v>229</v>
      </c>
      <c r="O21" s="63"/>
      <c r="P21" s="63"/>
    </row>
    <row r="22" spans="1:16" ht="27.6" customHeight="1" x14ac:dyDescent="0.3">
      <c r="A22" s="14">
        <v>10</v>
      </c>
      <c r="B22" s="17" t="s">
        <v>131</v>
      </c>
      <c r="C22" s="64" t="s">
        <v>120</v>
      </c>
      <c r="D22" s="65"/>
      <c r="E22" s="61"/>
      <c r="F22" s="61"/>
      <c r="G22" s="25">
        <v>46099</v>
      </c>
      <c r="H22" s="25">
        <f>G22+7</f>
        <v>46106</v>
      </c>
      <c r="I22" s="62" t="s">
        <v>130</v>
      </c>
      <c r="J22" s="62"/>
      <c r="K22" s="62"/>
      <c r="L22" s="15" t="s">
        <v>51</v>
      </c>
      <c r="M22" s="16">
        <v>0.5</v>
      </c>
      <c r="N22" s="63" t="s">
        <v>146</v>
      </c>
      <c r="O22" s="63"/>
      <c r="P22" s="63"/>
    </row>
    <row r="23" spans="1:16" ht="27.6" customHeight="1" x14ac:dyDescent="0.3">
      <c r="A23" s="14">
        <v>11</v>
      </c>
      <c r="B23" s="17" t="s">
        <v>131</v>
      </c>
      <c r="C23" s="64" t="s">
        <v>121</v>
      </c>
      <c r="D23" s="65"/>
      <c r="E23" s="61"/>
      <c r="F23" s="61"/>
      <c r="G23" s="25">
        <v>46099</v>
      </c>
      <c r="H23" s="25">
        <f>G23+7</f>
        <v>46106</v>
      </c>
      <c r="I23" s="62" t="s">
        <v>132</v>
      </c>
      <c r="J23" s="62"/>
      <c r="K23" s="62"/>
      <c r="L23" s="15" t="s">
        <v>51</v>
      </c>
      <c r="M23" s="16">
        <v>0.5</v>
      </c>
      <c r="N23" s="63" t="s">
        <v>146</v>
      </c>
      <c r="O23" s="63"/>
      <c r="P23" s="63"/>
    </row>
    <row r="24" spans="1:16" ht="27.6" customHeight="1" x14ac:dyDescent="0.3">
      <c r="A24" s="14">
        <v>12</v>
      </c>
      <c r="B24" s="17" t="s">
        <v>104</v>
      </c>
      <c r="C24" s="64" t="s">
        <v>122</v>
      </c>
      <c r="D24" s="65"/>
      <c r="E24" s="61"/>
      <c r="F24" s="61"/>
      <c r="G24" s="25">
        <v>46099</v>
      </c>
      <c r="H24" s="25">
        <f t="shared" ref="H24:H29" si="4">G24+7</f>
        <v>46106</v>
      </c>
      <c r="I24" s="62" t="s">
        <v>136</v>
      </c>
      <c r="J24" s="62"/>
      <c r="K24" s="62"/>
      <c r="L24" s="15" t="s">
        <v>51</v>
      </c>
      <c r="M24" s="16">
        <v>0.5</v>
      </c>
      <c r="N24" s="63" t="s">
        <v>170</v>
      </c>
      <c r="O24" s="63"/>
      <c r="P24" s="63"/>
    </row>
    <row r="25" spans="1:16" ht="27.6" customHeight="1" x14ac:dyDescent="0.3">
      <c r="A25" s="14">
        <v>13</v>
      </c>
      <c r="B25" s="17" t="s">
        <v>90</v>
      </c>
      <c r="C25" s="64" t="s">
        <v>123</v>
      </c>
      <c r="D25" s="65"/>
      <c r="E25" s="61"/>
      <c r="F25" s="61"/>
      <c r="G25" s="25">
        <v>46100</v>
      </c>
      <c r="H25" s="25">
        <f t="shared" si="4"/>
        <v>46107</v>
      </c>
      <c r="I25" s="62" t="s">
        <v>129</v>
      </c>
      <c r="J25" s="62"/>
      <c r="K25" s="62"/>
      <c r="L25" s="15" t="s">
        <v>51</v>
      </c>
      <c r="M25" s="16">
        <v>0.5</v>
      </c>
      <c r="N25" s="63" t="s">
        <v>146</v>
      </c>
      <c r="O25" s="63"/>
      <c r="P25" s="63"/>
    </row>
    <row r="26" spans="1:16" ht="27.6" customHeight="1" x14ac:dyDescent="0.3">
      <c r="A26" s="14">
        <v>14</v>
      </c>
      <c r="B26" s="17" t="s">
        <v>90</v>
      </c>
      <c r="C26" s="64" t="s">
        <v>124</v>
      </c>
      <c r="D26" s="65"/>
      <c r="E26" s="61"/>
      <c r="F26" s="61"/>
      <c r="G26" s="25">
        <v>46100</v>
      </c>
      <c r="H26" s="25">
        <f t="shared" si="4"/>
        <v>46107</v>
      </c>
      <c r="I26" s="62" t="s">
        <v>128</v>
      </c>
      <c r="J26" s="62"/>
      <c r="K26" s="62"/>
      <c r="L26" s="15" t="s">
        <v>51</v>
      </c>
      <c r="M26" s="16">
        <v>0.5</v>
      </c>
      <c r="N26" s="63" t="s">
        <v>146</v>
      </c>
      <c r="O26" s="63"/>
      <c r="P26" s="63"/>
    </row>
    <row r="27" spans="1:16" ht="27.6" customHeight="1" x14ac:dyDescent="0.3">
      <c r="A27" s="14">
        <v>15</v>
      </c>
      <c r="B27" s="17" t="s">
        <v>126</v>
      </c>
      <c r="C27" s="64" t="s">
        <v>125</v>
      </c>
      <c r="D27" s="65"/>
      <c r="E27" s="61"/>
      <c r="F27" s="61"/>
      <c r="G27" s="25">
        <v>46101</v>
      </c>
      <c r="H27" s="25">
        <f t="shared" si="4"/>
        <v>46108</v>
      </c>
      <c r="I27" s="62" t="s">
        <v>127</v>
      </c>
      <c r="J27" s="62"/>
      <c r="K27" s="62"/>
      <c r="L27" s="15" t="s">
        <v>51</v>
      </c>
      <c r="M27" s="16">
        <v>0.5</v>
      </c>
      <c r="N27" s="63" t="s">
        <v>146</v>
      </c>
      <c r="O27" s="63"/>
      <c r="P27" s="63"/>
    </row>
    <row r="28" spans="1:16" ht="27.6" customHeight="1" x14ac:dyDescent="0.3">
      <c r="A28" s="14">
        <v>16</v>
      </c>
      <c r="B28" s="17" t="s">
        <v>89</v>
      </c>
      <c r="C28" s="64" t="s">
        <v>138</v>
      </c>
      <c r="D28" s="65"/>
      <c r="E28" s="61"/>
      <c r="F28" s="61"/>
      <c r="G28" s="25">
        <v>46106</v>
      </c>
      <c r="H28" s="25">
        <f t="shared" si="4"/>
        <v>46113</v>
      </c>
      <c r="I28" s="62" t="s">
        <v>140</v>
      </c>
      <c r="J28" s="62"/>
      <c r="K28" s="62"/>
      <c r="L28" s="15" t="s">
        <v>55</v>
      </c>
      <c r="M28" s="16"/>
      <c r="N28" s="63" t="s">
        <v>182</v>
      </c>
      <c r="O28" s="63"/>
      <c r="P28" s="63"/>
    </row>
    <row r="29" spans="1:16" ht="27.6" customHeight="1" x14ac:dyDescent="0.3">
      <c r="A29" s="14">
        <v>17</v>
      </c>
      <c r="B29" s="17" t="s">
        <v>104</v>
      </c>
      <c r="C29" s="64" t="s">
        <v>139</v>
      </c>
      <c r="D29" s="65"/>
      <c r="E29" s="61"/>
      <c r="F29" s="61"/>
      <c r="G29" s="25">
        <v>46108</v>
      </c>
      <c r="H29" s="25">
        <f t="shared" si="4"/>
        <v>46115</v>
      </c>
      <c r="I29" s="62" t="s">
        <v>141</v>
      </c>
      <c r="J29" s="62"/>
      <c r="K29" s="62"/>
      <c r="L29" s="15" t="s">
        <v>51</v>
      </c>
      <c r="M29" s="16">
        <v>0.25</v>
      </c>
      <c r="N29" s="63" t="s">
        <v>142</v>
      </c>
      <c r="O29" s="63"/>
      <c r="P29" s="63"/>
    </row>
    <row r="30" spans="1:16" ht="27.6" customHeight="1" x14ac:dyDescent="0.3">
      <c r="A30" s="14">
        <v>18</v>
      </c>
      <c r="B30" s="17" t="s">
        <v>92</v>
      </c>
      <c r="C30" s="64" t="s">
        <v>171</v>
      </c>
      <c r="D30" s="65"/>
      <c r="E30" s="61"/>
      <c r="F30" s="61"/>
      <c r="G30" s="25">
        <v>46111</v>
      </c>
      <c r="H30" s="25">
        <f>G30+7</f>
        <v>46118</v>
      </c>
      <c r="I30" s="62" t="s">
        <v>174</v>
      </c>
      <c r="J30" s="62"/>
      <c r="K30" s="62"/>
      <c r="L30" s="15" t="s">
        <v>51</v>
      </c>
      <c r="M30" s="16">
        <v>0.5</v>
      </c>
      <c r="N30" s="63"/>
      <c r="O30" s="63"/>
      <c r="P30" s="63"/>
    </row>
    <row r="31" spans="1:16" ht="27.6" customHeight="1" x14ac:dyDescent="0.3">
      <c r="A31" s="14">
        <v>19</v>
      </c>
      <c r="B31" s="17" t="s">
        <v>89</v>
      </c>
      <c r="C31" s="64" t="s">
        <v>172</v>
      </c>
      <c r="D31" s="65"/>
      <c r="E31" s="61"/>
      <c r="F31" s="61"/>
      <c r="G31" s="25">
        <v>46115</v>
      </c>
      <c r="H31" s="25">
        <f>G31+7</f>
        <v>46122</v>
      </c>
      <c r="I31" s="62" t="s">
        <v>175</v>
      </c>
      <c r="J31" s="62"/>
      <c r="K31" s="62"/>
      <c r="L31" s="15" t="s">
        <v>51</v>
      </c>
      <c r="M31" s="16">
        <v>0.5</v>
      </c>
      <c r="N31" s="63" t="s">
        <v>231</v>
      </c>
      <c r="O31" s="63"/>
      <c r="P31" s="63"/>
    </row>
    <row r="32" spans="1:16" ht="27.6" customHeight="1" x14ac:dyDescent="0.3">
      <c r="A32" s="14">
        <v>20</v>
      </c>
      <c r="B32" s="17" t="s">
        <v>90</v>
      </c>
      <c r="C32" s="64" t="s">
        <v>173</v>
      </c>
      <c r="D32" s="65"/>
      <c r="E32" s="61"/>
      <c r="F32" s="61"/>
      <c r="G32" s="25">
        <v>46115</v>
      </c>
      <c r="H32" s="25">
        <f>G32+7</f>
        <v>46122</v>
      </c>
      <c r="I32" s="62" t="s">
        <v>176</v>
      </c>
      <c r="J32" s="62"/>
      <c r="K32" s="62"/>
      <c r="L32" s="15" t="s">
        <v>51</v>
      </c>
      <c r="M32" s="16">
        <v>0.5</v>
      </c>
      <c r="N32" s="63"/>
      <c r="O32" s="63"/>
      <c r="P32" s="63"/>
    </row>
    <row r="33" spans="1:16" ht="14.4" customHeight="1" x14ac:dyDescent="0.3">
      <c r="A33" s="28"/>
      <c r="B33" s="28"/>
      <c r="C33" s="29"/>
      <c r="D33" s="29"/>
      <c r="E33" s="28"/>
      <c r="F33" s="29"/>
      <c r="G33" s="29"/>
      <c r="H33" s="29"/>
      <c r="I33" s="29"/>
      <c r="J33" s="28"/>
      <c r="K33" s="29"/>
      <c r="L33" s="29"/>
      <c r="M33" s="29"/>
      <c r="N33" s="29"/>
      <c r="O33" s="28"/>
      <c r="P33" s="28"/>
    </row>
    <row r="34" spans="1:16" ht="27.6" customHeight="1" x14ac:dyDescent="0.3">
      <c r="A34" s="18" t="s">
        <v>11</v>
      </c>
      <c r="B34" s="13" t="s">
        <v>17</v>
      </c>
      <c r="C34" s="66" t="s">
        <v>15</v>
      </c>
      <c r="D34" s="67"/>
      <c r="E34" s="68" t="s">
        <v>14</v>
      </c>
      <c r="F34" s="68"/>
      <c r="G34" s="19" t="s">
        <v>18</v>
      </c>
      <c r="H34" s="26" t="s">
        <v>19</v>
      </c>
      <c r="I34" s="68" t="s">
        <v>20</v>
      </c>
      <c r="J34" s="68"/>
      <c r="K34" s="68"/>
      <c r="L34" s="20" t="s">
        <v>21</v>
      </c>
      <c r="M34" s="19" t="s">
        <v>70</v>
      </c>
      <c r="N34" s="69" t="s">
        <v>16</v>
      </c>
      <c r="O34" s="69"/>
      <c r="P34" s="69"/>
    </row>
    <row r="35" spans="1:16" ht="27.6" customHeight="1" x14ac:dyDescent="0.3">
      <c r="A35" s="14">
        <v>1</v>
      </c>
      <c r="B35" s="17" t="s">
        <v>183</v>
      </c>
      <c r="C35" s="64" t="s">
        <v>181</v>
      </c>
      <c r="D35" s="65"/>
      <c r="E35" s="61"/>
      <c r="F35" s="61"/>
      <c r="G35" s="25">
        <v>46120</v>
      </c>
      <c r="H35" s="25">
        <f>G35+7</f>
        <v>46127</v>
      </c>
      <c r="I35" s="62" t="s">
        <v>186</v>
      </c>
      <c r="J35" s="62"/>
      <c r="K35" s="62"/>
      <c r="L35" s="15" t="s">
        <v>49</v>
      </c>
      <c r="M35" s="16">
        <v>0.5</v>
      </c>
      <c r="N35" s="63"/>
      <c r="O35" s="63"/>
      <c r="P35" s="63"/>
    </row>
    <row r="36" spans="1:16" ht="27.6" customHeight="1" x14ac:dyDescent="0.3">
      <c r="A36" s="14">
        <v>2</v>
      </c>
      <c r="B36" s="17" t="s">
        <v>184</v>
      </c>
      <c r="C36" s="64" t="s">
        <v>185</v>
      </c>
      <c r="D36" s="65"/>
      <c r="E36" s="61"/>
      <c r="F36" s="61"/>
      <c r="G36" s="25">
        <v>46121</v>
      </c>
      <c r="H36" s="25">
        <f>G36+7</f>
        <v>46128</v>
      </c>
      <c r="I36" s="62" t="s">
        <v>187</v>
      </c>
      <c r="J36" s="62"/>
      <c r="K36" s="62"/>
      <c r="L36" s="15" t="s">
        <v>49</v>
      </c>
      <c r="M36" s="16">
        <v>0.5</v>
      </c>
      <c r="N36" s="63"/>
      <c r="O36" s="63"/>
      <c r="P36" s="63"/>
    </row>
    <row r="37" spans="1:16" ht="14.4" customHeight="1" x14ac:dyDescent="0.3">
      <c r="A37" s="28"/>
      <c r="B37" s="28"/>
      <c r="C37" s="29"/>
      <c r="D37" s="29"/>
      <c r="E37" s="28"/>
      <c r="F37" s="29"/>
      <c r="G37" s="29"/>
      <c r="H37" s="29"/>
      <c r="I37" s="29"/>
      <c r="J37" s="28"/>
      <c r="K37" s="29"/>
      <c r="L37" s="29"/>
      <c r="M37" s="29"/>
      <c r="N37" s="29"/>
      <c r="O37" s="28"/>
      <c r="P37" s="28"/>
    </row>
    <row r="38" spans="1:16" ht="27.6" customHeight="1" x14ac:dyDescent="0.3">
      <c r="A38" s="18" t="s">
        <v>11</v>
      </c>
      <c r="B38" s="21" t="s">
        <v>81</v>
      </c>
      <c r="C38" s="56" t="s">
        <v>71</v>
      </c>
      <c r="D38" s="56"/>
      <c r="E38" s="56"/>
      <c r="F38" s="75" t="s">
        <v>0</v>
      </c>
      <c r="G38" s="76"/>
      <c r="H38" s="77" t="s">
        <v>10</v>
      </c>
      <c r="I38" s="77"/>
      <c r="J38" s="56" t="s">
        <v>13</v>
      </c>
      <c r="K38" s="56"/>
      <c r="L38" s="56" t="s">
        <v>22</v>
      </c>
      <c r="M38" s="56"/>
      <c r="N38" s="76" t="s">
        <v>16</v>
      </c>
      <c r="O38" s="76"/>
      <c r="P38" s="76"/>
    </row>
    <row r="39" spans="1:16" ht="28.2" customHeight="1" x14ac:dyDescent="0.3">
      <c r="A39" s="14">
        <v>1</v>
      </c>
      <c r="B39" s="30" t="s">
        <v>188</v>
      </c>
      <c r="C39" s="33" t="s">
        <v>197</v>
      </c>
      <c r="D39" s="34"/>
      <c r="E39" s="34"/>
      <c r="F39" s="33" t="s">
        <v>209</v>
      </c>
      <c r="G39" s="34"/>
      <c r="H39" s="31" t="s">
        <v>106</v>
      </c>
      <c r="I39" s="32"/>
      <c r="J39" s="73"/>
      <c r="K39" s="74"/>
      <c r="L39" s="73"/>
      <c r="M39" s="74"/>
      <c r="N39" s="70" t="s">
        <v>145</v>
      </c>
      <c r="O39" s="71"/>
      <c r="P39" s="72"/>
    </row>
    <row r="40" spans="1:16" ht="28.2" customHeight="1" x14ac:dyDescent="0.3">
      <c r="A40" s="14">
        <v>2</v>
      </c>
      <c r="B40" s="30" t="s">
        <v>189</v>
      </c>
      <c r="C40" s="33" t="s">
        <v>198</v>
      </c>
      <c r="D40" s="34"/>
      <c r="E40" s="34"/>
      <c r="F40" s="33" t="s">
        <v>210</v>
      </c>
      <c r="G40" s="34"/>
      <c r="H40" s="31" t="s">
        <v>106</v>
      </c>
      <c r="I40" s="32"/>
      <c r="J40" s="73"/>
      <c r="K40" s="74"/>
      <c r="L40" s="73"/>
      <c r="M40" s="74"/>
      <c r="N40" s="70" t="s">
        <v>219</v>
      </c>
      <c r="O40" s="71"/>
      <c r="P40" s="72"/>
    </row>
    <row r="41" spans="1:16" ht="28.2" customHeight="1" x14ac:dyDescent="0.3">
      <c r="A41" s="14">
        <v>3</v>
      </c>
      <c r="B41" s="30" t="s">
        <v>190</v>
      </c>
      <c r="C41" s="33" t="s">
        <v>199</v>
      </c>
      <c r="D41" s="34"/>
      <c r="E41" s="34"/>
      <c r="F41" s="33" t="s">
        <v>211</v>
      </c>
      <c r="G41" s="34"/>
      <c r="H41" s="31" t="s">
        <v>106</v>
      </c>
      <c r="I41" s="32"/>
      <c r="J41" s="73"/>
      <c r="K41" s="74"/>
      <c r="L41" s="73"/>
      <c r="M41" s="74"/>
      <c r="N41" s="70" t="s">
        <v>220</v>
      </c>
      <c r="O41" s="71"/>
      <c r="P41" s="72"/>
    </row>
    <row r="42" spans="1:16" ht="38.4" customHeight="1" x14ac:dyDescent="0.3">
      <c r="A42" s="14">
        <v>4</v>
      </c>
      <c r="B42" s="30" t="s">
        <v>191</v>
      </c>
      <c r="C42" s="33" t="s">
        <v>200</v>
      </c>
      <c r="D42" s="34"/>
      <c r="E42" s="34"/>
      <c r="F42" s="33" t="s">
        <v>212</v>
      </c>
      <c r="G42" s="34"/>
      <c r="H42" s="31" t="s">
        <v>115</v>
      </c>
      <c r="I42" s="32"/>
      <c r="J42" s="73"/>
      <c r="K42" s="74"/>
      <c r="L42" s="73"/>
      <c r="M42" s="74"/>
      <c r="N42" s="70" t="s">
        <v>221</v>
      </c>
      <c r="O42" s="71"/>
      <c r="P42" s="72"/>
    </row>
    <row r="43" spans="1:16" ht="28.2" customHeight="1" x14ac:dyDescent="0.3">
      <c r="A43" s="14">
        <v>5</v>
      </c>
      <c r="B43" s="30" t="s">
        <v>192</v>
      </c>
      <c r="C43" s="33" t="s">
        <v>201</v>
      </c>
      <c r="D43" s="34"/>
      <c r="E43" s="34"/>
      <c r="F43" s="33" t="s">
        <v>213</v>
      </c>
      <c r="G43" s="34"/>
      <c r="H43" s="31" t="s">
        <v>207</v>
      </c>
      <c r="I43" s="32"/>
      <c r="J43" s="73"/>
      <c r="K43" s="74"/>
      <c r="L43" s="73"/>
      <c r="M43" s="74"/>
      <c r="N43" s="70" t="s">
        <v>222</v>
      </c>
      <c r="O43" s="71"/>
      <c r="P43" s="72"/>
    </row>
    <row r="44" spans="1:16" ht="28.2" customHeight="1" x14ac:dyDescent="0.3">
      <c r="A44" s="14">
        <v>6</v>
      </c>
      <c r="B44" s="30" t="s">
        <v>193</v>
      </c>
      <c r="C44" s="33" t="s">
        <v>202</v>
      </c>
      <c r="D44" s="34"/>
      <c r="E44" s="34"/>
      <c r="F44" s="33" t="s">
        <v>214</v>
      </c>
      <c r="G44" s="34"/>
      <c r="H44" s="31" t="s">
        <v>207</v>
      </c>
      <c r="I44" s="32"/>
      <c r="J44" s="73"/>
      <c r="K44" s="74"/>
      <c r="L44" s="73"/>
      <c r="M44" s="74"/>
      <c r="N44" s="70" t="s">
        <v>223</v>
      </c>
      <c r="O44" s="71"/>
      <c r="P44" s="72"/>
    </row>
    <row r="45" spans="1:16" ht="28.2" customHeight="1" x14ac:dyDescent="0.3">
      <c r="A45" s="14">
        <v>7</v>
      </c>
      <c r="B45" s="30" t="s">
        <v>184</v>
      </c>
      <c r="C45" s="33" t="s">
        <v>203</v>
      </c>
      <c r="D45" s="34"/>
      <c r="E45" s="34"/>
      <c r="F45" s="33" t="s">
        <v>215</v>
      </c>
      <c r="G45" s="34"/>
      <c r="H45" s="31" t="s">
        <v>106</v>
      </c>
      <c r="I45" s="32"/>
      <c r="J45" s="73"/>
      <c r="K45" s="74"/>
      <c r="L45" s="73"/>
      <c r="M45" s="74"/>
      <c r="N45" s="70" t="s">
        <v>145</v>
      </c>
      <c r="O45" s="71"/>
      <c r="P45" s="72"/>
    </row>
    <row r="46" spans="1:16" ht="28.2" customHeight="1" x14ac:dyDescent="0.3">
      <c r="A46" s="14">
        <v>8</v>
      </c>
      <c r="B46" s="30" t="s">
        <v>194</v>
      </c>
      <c r="C46" s="33" t="s">
        <v>204</v>
      </c>
      <c r="D46" s="34"/>
      <c r="E46" s="34"/>
      <c r="F46" s="33" t="s">
        <v>216</v>
      </c>
      <c r="G46" s="34"/>
      <c r="H46" s="31" t="s">
        <v>106</v>
      </c>
      <c r="I46" s="32"/>
      <c r="J46" s="73"/>
      <c r="K46" s="74"/>
      <c r="L46" s="73"/>
      <c r="M46" s="74"/>
      <c r="N46" s="70" t="s">
        <v>224</v>
      </c>
      <c r="O46" s="71"/>
      <c r="P46" s="72"/>
    </row>
    <row r="47" spans="1:16" ht="28.2" customHeight="1" x14ac:dyDescent="0.3">
      <c r="A47" s="14">
        <v>9</v>
      </c>
      <c r="B47" s="30" t="s">
        <v>195</v>
      </c>
      <c r="C47" s="33" t="s">
        <v>205</v>
      </c>
      <c r="D47" s="34"/>
      <c r="E47" s="34"/>
      <c r="F47" s="33" t="s">
        <v>217</v>
      </c>
      <c r="G47" s="34"/>
      <c r="H47" s="31" t="s">
        <v>207</v>
      </c>
      <c r="I47" s="32"/>
      <c r="J47" s="73"/>
      <c r="K47" s="74"/>
      <c r="L47" s="73"/>
      <c r="M47" s="74"/>
      <c r="N47" s="70" t="s">
        <v>225</v>
      </c>
      <c r="O47" s="71"/>
      <c r="P47" s="72"/>
    </row>
    <row r="48" spans="1:16" ht="28.2" customHeight="1" x14ac:dyDescent="0.3">
      <c r="A48" s="14">
        <v>10</v>
      </c>
      <c r="B48" s="30" t="s">
        <v>196</v>
      </c>
      <c r="C48" s="33" t="s">
        <v>206</v>
      </c>
      <c r="D48" s="34"/>
      <c r="E48" s="34"/>
      <c r="F48" s="33" t="s">
        <v>218</v>
      </c>
      <c r="G48" s="34"/>
      <c r="H48" s="31" t="s">
        <v>208</v>
      </c>
      <c r="I48" s="32"/>
      <c r="J48" s="73"/>
      <c r="K48" s="74"/>
      <c r="L48" s="73"/>
      <c r="M48" s="74"/>
      <c r="N48" s="70" t="s">
        <v>145</v>
      </c>
      <c r="O48" s="71"/>
      <c r="P48" s="72"/>
    </row>
    <row r="49" spans="1:16" ht="14.4" customHeight="1" x14ac:dyDescent="0.3">
      <c r="A49" s="28"/>
      <c r="B49" s="28"/>
      <c r="C49" s="29"/>
      <c r="D49" s="29"/>
      <c r="E49" s="28"/>
      <c r="F49" s="29"/>
      <c r="G49" s="29"/>
      <c r="H49" s="29"/>
      <c r="I49" s="29"/>
      <c r="J49" s="28"/>
      <c r="K49" s="29"/>
      <c r="L49" s="29"/>
      <c r="M49" s="29"/>
      <c r="N49" s="29"/>
      <c r="O49" s="28"/>
      <c r="P49" s="28"/>
    </row>
    <row r="50" spans="1:16" ht="30" customHeight="1" x14ac:dyDescent="0.3">
      <c r="A50" s="18" t="s">
        <v>11</v>
      </c>
      <c r="B50" s="21" t="s">
        <v>107</v>
      </c>
      <c r="C50" s="56" t="s">
        <v>71</v>
      </c>
      <c r="D50" s="56"/>
      <c r="E50" s="56"/>
      <c r="F50" s="75" t="s">
        <v>0</v>
      </c>
      <c r="G50" s="76"/>
      <c r="H50" s="77" t="s">
        <v>10</v>
      </c>
      <c r="I50" s="77"/>
      <c r="J50" s="56" t="s">
        <v>13</v>
      </c>
      <c r="K50" s="56"/>
      <c r="L50" s="56" t="s">
        <v>22</v>
      </c>
      <c r="M50" s="56"/>
      <c r="N50" s="76" t="s">
        <v>16</v>
      </c>
      <c r="O50" s="76"/>
      <c r="P50" s="76"/>
    </row>
    <row r="51" spans="1:16" ht="122.4" customHeight="1" x14ac:dyDescent="0.3">
      <c r="A51" s="14">
        <v>1</v>
      </c>
      <c r="B51" s="30" t="s">
        <v>226</v>
      </c>
      <c r="C51" s="33"/>
      <c r="D51" s="34"/>
      <c r="E51" s="34"/>
      <c r="F51" s="33"/>
      <c r="G51" s="34"/>
      <c r="H51" s="31"/>
      <c r="I51" s="32"/>
      <c r="J51" s="74"/>
      <c r="K51" s="78"/>
      <c r="L51" s="74"/>
      <c r="M51" s="78"/>
      <c r="N51" s="70" t="s">
        <v>227</v>
      </c>
      <c r="O51" s="71"/>
      <c r="P51" s="72"/>
    </row>
    <row r="57" spans="1:16" x14ac:dyDescent="0.3">
      <c r="H57"/>
    </row>
    <row r="58" spans="1:16" x14ac:dyDescent="0.3">
      <c r="H58"/>
    </row>
    <row r="59" spans="1:16" x14ac:dyDescent="0.3">
      <c r="H59"/>
    </row>
    <row r="60" spans="1:16" x14ac:dyDescent="0.3">
      <c r="H60"/>
    </row>
    <row r="61" spans="1:16" x14ac:dyDescent="0.3">
      <c r="H61"/>
    </row>
    <row r="62" spans="1:16" x14ac:dyDescent="0.3">
      <c r="H62"/>
    </row>
    <row r="63" spans="1:16" x14ac:dyDescent="0.3">
      <c r="H63"/>
    </row>
    <row r="64" spans="1:16"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sheetData>
  <mergeCells count="173">
    <mergeCell ref="J48:K48"/>
    <mergeCell ref="L48:M48"/>
    <mergeCell ref="N48:P48"/>
    <mergeCell ref="J46:K46"/>
    <mergeCell ref="L46:M46"/>
    <mergeCell ref="N46:P46"/>
    <mergeCell ref="J47:K47"/>
    <mergeCell ref="L47:M47"/>
    <mergeCell ref="N47:P47"/>
    <mergeCell ref="J44:K44"/>
    <mergeCell ref="L44:M44"/>
    <mergeCell ref="N44:P44"/>
    <mergeCell ref="J45:K45"/>
    <mergeCell ref="L45:M45"/>
    <mergeCell ref="N45:P45"/>
    <mergeCell ref="J42:K42"/>
    <mergeCell ref="L42:M42"/>
    <mergeCell ref="N42:P42"/>
    <mergeCell ref="J43:K43"/>
    <mergeCell ref="L43:M43"/>
    <mergeCell ref="N43:P43"/>
    <mergeCell ref="N31:P31"/>
    <mergeCell ref="C32:D32"/>
    <mergeCell ref="E32:F32"/>
    <mergeCell ref="I32:K32"/>
    <mergeCell ref="N32:P32"/>
    <mergeCell ref="J41:K41"/>
    <mergeCell ref="L41:M41"/>
    <mergeCell ref="N41:P41"/>
    <mergeCell ref="J51:K51"/>
    <mergeCell ref="L51:M51"/>
    <mergeCell ref="N51:P51"/>
    <mergeCell ref="C30:D30"/>
    <mergeCell ref="E30:F30"/>
    <mergeCell ref="I30:K30"/>
    <mergeCell ref="N30:P30"/>
    <mergeCell ref="C31:D31"/>
    <mergeCell ref="E31:F31"/>
    <mergeCell ref="I31:K31"/>
    <mergeCell ref="C50:E50"/>
    <mergeCell ref="F50:G50"/>
    <mergeCell ref="H50:I50"/>
    <mergeCell ref="J50:K50"/>
    <mergeCell ref="L50:M50"/>
    <mergeCell ref="N50:P50"/>
    <mergeCell ref="J39:K39"/>
    <mergeCell ref="L39:M39"/>
    <mergeCell ref="N39:P39"/>
    <mergeCell ref="J40:K40"/>
    <mergeCell ref="L40:M40"/>
    <mergeCell ref="N40:P40"/>
    <mergeCell ref="C38:E38"/>
    <mergeCell ref="F38:G38"/>
    <mergeCell ref="H38:I38"/>
    <mergeCell ref="J38:K38"/>
    <mergeCell ref="L38:M38"/>
    <mergeCell ref="N38:P38"/>
    <mergeCell ref="C36:D36"/>
    <mergeCell ref="E36:F36"/>
    <mergeCell ref="I36:K36"/>
    <mergeCell ref="N36:P36"/>
    <mergeCell ref="C34:D34"/>
    <mergeCell ref="E34:F34"/>
    <mergeCell ref="I34:K34"/>
    <mergeCell ref="N34:P34"/>
    <mergeCell ref="C35:D35"/>
    <mergeCell ref="E35:F35"/>
    <mergeCell ref="I35:K35"/>
    <mergeCell ref="N35:P35"/>
    <mergeCell ref="C28:D28"/>
    <mergeCell ref="E28:F28"/>
    <mergeCell ref="I28:K28"/>
    <mergeCell ref="N28:P28"/>
    <mergeCell ref="C29:D29"/>
    <mergeCell ref="E29:F29"/>
    <mergeCell ref="I29:K29"/>
    <mergeCell ref="N29:P29"/>
    <mergeCell ref="C26:D26"/>
    <mergeCell ref="E26:F26"/>
    <mergeCell ref="I26:K26"/>
    <mergeCell ref="N26:P26"/>
    <mergeCell ref="C27:D27"/>
    <mergeCell ref="E27:F27"/>
    <mergeCell ref="I27:K27"/>
    <mergeCell ref="N27:P27"/>
    <mergeCell ref="C24:D24"/>
    <mergeCell ref="E24:F24"/>
    <mergeCell ref="I24:K24"/>
    <mergeCell ref="N24:P24"/>
    <mergeCell ref="C25:D25"/>
    <mergeCell ref="E25:F25"/>
    <mergeCell ref="I25:K25"/>
    <mergeCell ref="N25:P25"/>
    <mergeCell ref="C22:D22"/>
    <mergeCell ref="E22:F22"/>
    <mergeCell ref="I22:K22"/>
    <mergeCell ref="N22:P22"/>
    <mergeCell ref="C23:D23"/>
    <mergeCell ref="E23:F23"/>
    <mergeCell ref="I23:K23"/>
    <mergeCell ref="N23:P23"/>
    <mergeCell ref="C20:D20"/>
    <mergeCell ref="E20:F20"/>
    <mergeCell ref="I20:K20"/>
    <mergeCell ref="N20:P20"/>
    <mergeCell ref="C21:D21"/>
    <mergeCell ref="E21:F21"/>
    <mergeCell ref="I21:K21"/>
    <mergeCell ref="N21:P21"/>
    <mergeCell ref="C19:D19"/>
    <mergeCell ref="E19:F19"/>
    <mergeCell ref="I19:K19"/>
    <mergeCell ref="N19:P19"/>
    <mergeCell ref="C17:D17"/>
    <mergeCell ref="E17:F17"/>
    <mergeCell ref="I17:K17"/>
    <mergeCell ref="N17:P17"/>
    <mergeCell ref="C18:D18"/>
    <mergeCell ref="E18:F18"/>
    <mergeCell ref="I18:K18"/>
    <mergeCell ref="N18:P18"/>
    <mergeCell ref="C16:D16"/>
    <mergeCell ref="E16:F16"/>
    <mergeCell ref="I16:K16"/>
    <mergeCell ref="N16:P16"/>
    <mergeCell ref="C15:D15"/>
    <mergeCell ref="E15:F15"/>
    <mergeCell ref="I15:K15"/>
    <mergeCell ref="N15:P15"/>
    <mergeCell ref="C13:D13"/>
    <mergeCell ref="E13:F13"/>
    <mergeCell ref="I13:K13"/>
    <mergeCell ref="N13:P13"/>
    <mergeCell ref="C14:D14"/>
    <mergeCell ref="E14:F14"/>
    <mergeCell ref="I14:K14"/>
    <mergeCell ref="N14:P14"/>
    <mergeCell ref="M10:N10"/>
    <mergeCell ref="O10:P10"/>
    <mergeCell ref="C12:D12"/>
    <mergeCell ref="E12:F12"/>
    <mergeCell ref="I12:K12"/>
    <mergeCell ref="N12:P12"/>
    <mergeCell ref="A10:B10"/>
    <mergeCell ref="C10:D10"/>
    <mergeCell ref="E10:F10"/>
    <mergeCell ref="G10:H10"/>
    <mergeCell ref="I10:J10"/>
    <mergeCell ref="K10:L10"/>
    <mergeCell ref="T7:U7"/>
    <mergeCell ref="A9:B9"/>
    <mergeCell ref="C9:D9"/>
    <mergeCell ref="E9:F9"/>
    <mergeCell ref="G9:H9"/>
    <mergeCell ref="I9:J9"/>
    <mergeCell ref="K9:L9"/>
    <mergeCell ref="M9:N9"/>
    <mergeCell ref="O9:P9"/>
    <mergeCell ref="T9:U9"/>
    <mergeCell ref="G6:I6"/>
    <mergeCell ref="L6:N6"/>
    <mergeCell ref="O6:P6"/>
    <mergeCell ref="A7:B7"/>
    <mergeCell ref="D7:F7"/>
    <mergeCell ref="G7:I7"/>
    <mergeCell ref="L7:N7"/>
    <mergeCell ref="O7:P7"/>
    <mergeCell ref="A1:E1"/>
    <mergeCell ref="A2:B2"/>
    <mergeCell ref="A4:B4"/>
    <mergeCell ref="A5:B5"/>
    <mergeCell ref="A6:B6"/>
    <mergeCell ref="D6:F6"/>
  </mergeCells>
  <phoneticPr fontId="15" type="noConversion"/>
  <conditionalFormatting sqref="M13">
    <cfRule type="dataBar" priority="9">
      <dataBar>
        <cfvo type="min"/>
        <cfvo type="max"/>
        <color rgb="FF63C384"/>
      </dataBar>
      <extLst>
        <ext xmlns:x14="http://schemas.microsoft.com/office/spreadsheetml/2009/9/main" uri="{B025F937-C7B1-47D3-B67F-A62EFF666E3E}">
          <x14:id>{D31F62CA-D4C6-49F2-97F4-4B57337B9CA4}</x14:id>
        </ext>
      </extLst>
    </cfRule>
    <cfRule type="colorScale" priority="10">
      <colorScale>
        <cfvo type="min"/>
        <cfvo type="percentile" val="50"/>
        <cfvo type="max"/>
        <color rgb="FF63BE7B"/>
        <color rgb="FFFFEB84"/>
        <color rgb="FFF8696B"/>
      </colorScale>
    </cfRule>
  </conditionalFormatting>
  <conditionalFormatting sqref="M14">
    <cfRule type="dataBar" priority="13">
      <dataBar>
        <cfvo type="min"/>
        <cfvo type="max"/>
        <color rgb="FF63C384"/>
      </dataBar>
      <extLst>
        <ext xmlns:x14="http://schemas.microsoft.com/office/spreadsheetml/2009/9/main" uri="{B025F937-C7B1-47D3-B67F-A62EFF666E3E}">
          <x14:id>{77732839-C876-4434-B02C-7AFF61717D44}</x14:id>
        </ext>
      </extLst>
    </cfRule>
    <cfRule type="colorScale" priority="14">
      <colorScale>
        <cfvo type="min"/>
        <cfvo type="percentile" val="50"/>
        <cfvo type="max"/>
        <color rgb="FF63BE7B"/>
        <color rgb="FFFFEB84"/>
        <color rgb="FFF8696B"/>
      </colorScale>
    </cfRule>
  </conditionalFormatting>
  <conditionalFormatting sqref="M19:M27">
    <cfRule type="dataBar" priority="5">
      <dataBar>
        <cfvo type="min"/>
        <cfvo type="max"/>
        <color rgb="FF63C384"/>
      </dataBar>
      <extLst>
        <ext xmlns:x14="http://schemas.microsoft.com/office/spreadsheetml/2009/9/main" uri="{B025F937-C7B1-47D3-B67F-A62EFF666E3E}">
          <x14:id>{72D34998-DAD7-4C9F-8D4B-01190C247849}</x14:id>
        </ext>
      </extLst>
    </cfRule>
    <cfRule type="colorScale" priority="6">
      <colorScale>
        <cfvo type="min"/>
        <cfvo type="percentile" val="50"/>
        <cfvo type="max"/>
        <color rgb="FF63BE7B"/>
        <color rgb="FFFFEB84"/>
        <color rgb="FFF8696B"/>
      </colorScale>
    </cfRule>
  </conditionalFormatting>
  <conditionalFormatting sqref="M28:M29">
    <cfRule type="dataBar" priority="3">
      <dataBar>
        <cfvo type="min"/>
        <cfvo type="max"/>
        <color rgb="FF63C384"/>
      </dataBar>
      <extLst>
        <ext xmlns:x14="http://schemas.microsoft.com/office/spreadsheetml/2009/9/main" uri="{B025F937-C7B1-47D3-B67F-A62EFF666E3E}">
          <x14:id>{3623C34B-90E0-4825-9115-FBD999F760F6}</x14:id>
        </ext>
      </extLst>
    </cfRule>
    <cfRule type="colorScale" priority="4">
      <colorScale>
        <cfvo type="min"/>
        <cfvo type="percentile" val="50"/>
        <cfvo type="max"/>
        <color rgb="FF63BE7B"/>
        <color rgb="FFFFEB84"/>
        <color rgb="FFF8696B"/>
      </colorScale>
    </cfRule>
  </conditionalFormatting>
  <conditionalFormatting sqref="M16:M18">
    <cfRule type="dataBar" priority="83">
      <dataBar>
        <cfvo type="min"/>
        <cfvo type="max"/>
        <color rgb="FF63C384"/>
      </dataBar>
      <extLst>
        <ext xmlns:x14="http://schemas.microsoft.com/office/spreadsheetml/2009/9/main" uri="{B025F937-C7B1-47D3-B67F-A62EFF666E3E}">
          <x14:id>{BD023953-0EBC-4D35-B9BE-E58ACFCF0355}</x14:id>
        </ext>
      </extLst>
    </cfRule>
    <cfRule type="colorScale" priority="84">
      <colorScale>
        <cfvo type="min"/>
        <cfvo type="percentile" val="50"/>
        <cfvo type="max"/>
        <color rgb="FF63BE7B"/>
        <color rgb="FFFFEB84"/>
        <color rgb="FFF8696B"/>
      </colorScale>
    </cfRule>
  </conditionalFormatting>
  <conditionalFormatting sqref="M15">
    <cfRule type="dataBar" priority="87">
      <dataBar>
        <cfvo type="min"/>
        <cfvo type="max"/>
        <color rgb="FF63C384"/>
      </dataBar>
      <extLst>
        <ext xmlns:x14="http://schemas.microsoft.com/office/spreadsheetml/2009/9/main" uri="{B025F937-C7B1-47D3-B67F-A62EFF666E3E}">
          <x14:id>{B12D68A1-5A92-450A-A2B5-1C18E83421B6}</x14:id>
        </ext>
      </extLst>
    </cfRule>
    <cfRule type="colorScale" priority="88">
      <colorScale>
        <cfvo type="min"/>
        <cfvo type="percentile" val="50"/>
        <cfvo type="max"/>
        <color rgb="FF63BE7B"/>
        <color rgb="FFFFEB84"/>
        <color rgb="FFF8696B"/>
      </colorScale>
    </cfRule>
  </conditionalFormatting>
  <conditionalFormatting sqref="M30:M32">
    <cfRule type="dataBar" priority="1">
      <dataBar>
        <cfvo type="min"/>
        <cfvo type="max"/>
        <color rgb="FF63C384"/>
      </dataBar>
      <extLst>
        <ext xmlns:x14="http://schemas.microsoft.com/office/spreadsheetml/2009/9/main" uri="{B025F937-C7B1-47D3-B67F-A62EFF666E3E}">
          <x14:id>{0E3328C9-0DF5-4E7B-B3E6-3980840588AD}</x14:id>
        </ext>
      </extLst>
    </cfRule>
    <cfRule type="colorScale" priority="2">
      <colorScale>
        <cfvo type="min"/>
        <cfvo type="percentile" val="50"/>
        <cfvo type="max"/>
        <color rgb="FF63BE7B"/>
        <color rgb="FFFFEB84"/>
        <color rgb="FFF8696B"/>
      </colorScale>
    </cfRule>
  </conditionalFormatting>
  <conditionalFormatting sqref="M35:M36">
    <cfRule type="dataBar" priority="89">
      <dataBar>
        <cfvo type="min"/>
        <cfvo type="max"/>
        <color rgb="FF63C384"/>
      </dataBar>
      <extLst>
        <ext xmlns:x14="http://schemas.microsoft.com/office/spreadsheetml/2009/9/main" uri="{B025F937-C7B1-47D3-B67F-A62EFF666E3E}">
          <x14:id>{59FE5B2F-AD56-4D33-ADF2-BE056D3ADC14}</x14:id>
        </ext>
      </extLst>
    </cfRule>
    <cfRule type="colorScale" priority="90">
      <colorScale>
        <cfvo type="min"/>
        <cfvo type="percentile" val="50"/>
        <cfvo type="max"/>
        <color rgb="FF63BE7B"/>
        <color rgb="FFFFEB84"/>
        <color rgb="FFF8696B"/>
      </colorScale>
    </cfRule>
  </conditionalFormatting>
  <pageMargins left="0.42" right="0.49" top="0.33" bottom="0.33" header="0.3" footer="0.3"/>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D31F62CA-D4C6-49F2-97F4-4B57337B9CA4}">
            <x14:dataBar minLength="0" maxLength="100" border="1" negativeBarBorderColorSameAsPositive="0">
              <x14:cfvo type="autoMin"/>
              <x14:cfvo type="autoMax"/>
              <x14:borderColor rgb="FF63C384"/>
              <x14:negativeFillColor rgb="FFFF0000"/>
              <x14:negativeBorderColor rgb="FFFF0000"/>
              <x14:axisColor rgb="FF000000"/>
            </x14:dataBar>
          </x14:cfRule>
          <xm:sqref>M13</xm:sqref>
        </x14:conditionalFormatting>
        <x14:conditionalFormatting xmlns:xm="http://schemas.microsoft.com/office/excel/2006/main">
          <x14:cfRule type="dataBar" id="{77732839-C876-4434-B02C-7AFF61717D44}">
            <x14:dataBar minLength="0" maxLength="100" border="1" negativeBarBorderColorSameAsPositive="0">
              <x14:cfvo type="autoMin"/>
              <x14:cfvo type="autoMax"/>
              <x14:borderColor rgb="FF63C384"/>
              <x14:negativeFillColor rgb="FFFF0000"/>
              <x14:negativeBorderColor rgb="FFFF0000"/>
              <x14:axisColor rgb="FF000000"/>
            </x14:dataBar>
          </x14:cfRule>
          <xm:sqref>M14</xm:sqref>
        </x14:conditionalFormatting>
        <x14:conditionalFormatting xmlns:xm="http://schemas.microsoft.com/office/excel/2006/main">
          <x14:cfRule type="dataBar" id="{72D34998-DAD7-4C9F-8D4B-01190C247849}">
            <x14:dataBar minLength="0" maxLength="100" border="1" negativeBarBorderColorSameAsPositive="0">
              <x14:cfvo type="autoMin"/>
              <x14:cfvo type="autoMax"/>
              <x14:borderColor rgb="FF63C384"/>
              <x14:negativeFillColor rgb="FFFF0000"/>
              <x14:negativeBorderColor rgb="FFFF0000"/>
              <x14:axisColor rgb="FF000000"/>
            </x14:dataBar>
          </x14:cfRule>
          <xm:sqref>M19:M27</xm:sqref>
        </x14:conditionalFormatting>
        <x14:conditionalFormatting xmlns:xm="http://schemas.microsoft.com/office/excel/2006/main">
          <x14:cfRule type="dataBar" id="{3623C34B-90E0-4825-9115-FBD999F760F6}">
            <x14:dataBar minLength="0" maxLength="100" border="1" negativeBarBorderColorSameAsPositive="0">
              <x14:cfvo type="autoMin"/>
              <x14:cfvo type="autoMax"/>
              <x14:borderColor rgb="FF63C384"/>
              <x14:negativeFillColor rgb="FFFF0000"/>
              <x14:negativeBorderColor rgb="FFFF0000"/>
              <x14:axisColor rgb="FF000000"/>
            </x14:dataBar>
          </x14:cfRule>
          <xm:sqref>M28:M29</xm:sqref>
        </x14:conditionalFormatting>
        <x14:conditionalFormatting xmlns:xm="http://schemas.microsoft.com/office/excel/2006/main">
          <x14:cfRule type="dataBar" id="{BD023953-0EBC-4D35-B9BE-E58ACFCF0355}">
            <x14:dataBar minLength="0" maxLength="100" border="1" negativeBarBorderColorSameAsPositive="0">
              <x14:cfvo type="autoMin"/>
              <x14:cfvo type="autoMax"/>
              <x14:borderColor rgb="FF63C384"/>
              <x14:negativeFillColor rgb="FFFF0000"/>
              <x14:negativeBorderColor rgb="FFFF0000"/>
              <x14:axisColor rgb="FF000000"/>
            </x14:dataBar>
          </x14:cfRule>
          <xm:sqref>M16:M18</xm:sqref>
        </x14:conditionalFormatting>
        <x14:conditionalFormatting xmlns:xm="http://schemas.microsoft.com/office/excel/2006/main">
          <x14:cfRule type="dataBar" id="{B12D68A1-5A92-450A-A2B5-1C18E83421B6}">
            <x14:dataBar minLength="0" maxLength="100" border="1" negativeBarBorderColorSameAsPositive="0">
              <x14:cfvo type="autoMin"/>
              <x14:cfvo type="autoMax"/>
              <x14:borderColor rgb="FF63C384"/>
              <x14:negativeFillColor rgb="FFFF0000"/>
              <x14:negativeBorderColor rgb="FFFF0000"/>
              <x14:axisColor rgb="FF000000"/>
            </x14:dataBar>
          </x14:cfRule>
          <xm:sqref>M15</xm:sqref>
        </x14:conditionalFormatting>
        <x14:conditionalFormatting xmlns:xm="http://schemas.microsoft.com/office/excel/2006/main">
          <x14:cfRule type="dataBar" id="{0E3328C9-0DF5-4E7B-B3E6-3980840588AD}">
            <x14:dataBar minLength="0" maxLength="100" border="1" negativeBarBorderColorSameAsPositive="0">
              <x14:cfvo type="autoMin"/>
              <x14:cfvo type="autoMax"/>
              <x14:borderColor rgb="FF63C384"/>
              <x14:negativeFillColor rgb="FFFF0000"/>
              <x14:negativeBorderColor rgb="FFFF0000"/>
              <x14:axisColor rgb="FF000000"/>
            </x14:dataBar>
          </x14:cfRule>
          <xm:sqref>M30:M32</xm:sqref>
        </x14:conditionalFormatting>
        <x14:conditionalFormatting xmlns:xm="http://schemas.microsoft.com/office/excel/2006/main">
          <x14:cfRule type="dataBar" id="{59FE5B2F-AD56-4D33-ADF2-BE056D3ADC14}">
            <x14:dataBar minLength="0" maxLength="100" border="1" negativeBarBorderColorSameAsPositive="0">
              <x14:cfvo type="autoMin"/>
              <x14:cfvo type="autoMax"/>
              <x14:borderColor rgb="FF63C384"/>
              <x14:negativeFillColor rgb="FFFF0000"/>
              <x14:negativeBorderColor rgb="FFFF0000"/>
              <x14:axisColor rgb="FF000000"/>
            </x14:dataBar>
          </x14:cfRule>
          <xm:sqref>M35:M36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7924E253-0D14-4C2D-8403-C37C78D7C928}">
          <x14:formula1>
            <xm:f>Definitions!$B$28:$B$31</xm:f>
          </x14:formula1>
          <xm:sqref>M13:M32 M35:M37</xm:sqref>
        </x14:dataValidation>
        <x14:dataValidation type="list" allowBlank="1" showInputMessage="1" showErrorMessage="1" xr:uid="{6D49B8F9-0FEA-4615-8DA0-46D155B7F2C0}">
          <x14:formula1>
            <xm:f>Definitions!$B$19:$B$25</xm:f>
          </x14:formula1>
          <xm:sqref>L13:L32 L35:L37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workbookViewId="0">
      <selection activeCell="B3" sqref="B3"/>
    </sheetView>
  </sheetViews>
  <sheetFormatPr defaultColWidth="9.109375" defaultRowHeight="10.199999999999999" x14ac:dyDescent="0.2"/>
  <cols>
    <col min="1" max="1" width="10.6640625" style="7" customWidth="1"/>
    <col min="2" max="2" width="19.33203125" style="7" customWidth="1"/>
    <col min="3" max="3" width="12.88671875" style="7" customWidth="1"/>
    <col min="4" max="4" width="17.6640625" style="7" bestFit="1" customWidth="1"/>
    <col min="5" max="5" width="10.6640625" style="7" customWidth="1"/>
    <col min="6" max="6" width="15.44140625" style="7" customWidth="1"/>
    <col min="7" max="7" width="14.33203125" style="7" bestFit="1" customWidth="1"/>
    <col min="8" max="8" width="17" style="7" customWidth="1"/>
    <col min="9" max="9" width="10.33203125" style="7" bestFit="1" customWidth="1"/>
    <col min="10" max="11" width="13.88671875" style="7" customWidth="1"/>
    <col min="12" max="12" width="16" style="7" customWidth="1"/>
    <col min="13" max="16384" width="9.109375" style="7"/>
  </cols>
  <sheetData>
    <row r="1" spans="1:12" s="6" customFormat="1" x14ac:dyDescent="0.2">
      <c r="A1" s="5" t="s">
        <v>25</v>
      </c>
      <c r="B1" s="5" t="s">
        <v>26</v>
      </c>
      <c r="C1" s="5" t="s">
        <v>27</v>
      </c>
      <c r="D1" s="5" t="s">
        <v>28</v>
      </c>
      <c r="E1" s="5" t="s">
        <v>29</v>
      </c>
      <c r="F1" s="5" t="s">
        <v>30</v>
      </c>
      <c r="G1" s="5" t="s">
        <v>31</v>
      </c>
      <c r="H1" s="5" t="s">
        <v>32</v>
      </c>
      <c r="I1" s="5" t="s">
        <v>33</v>
      </c>
      <c r="J1" s="5" t="s">
        <v>34</v>
      </c>
      <c r="K1" s="5" t="s">
        <v>35</v>
      </c>
      <c r="L1" s="5" t="s">
        <v>36</v>
      </c>
    </row>
    <row r="2" spans="1:12" x14ac:dyDescent="0.2">
      <c r="I2" s="7" t="s">
        <v>37</v>
      </c>
    </row>
    <row r="3" spans="1:12" x14ac:dyDescent="0.2">
      <c r="I3" s="7" t="s">
        <v>38</v>
      </c>
    </row>
    <row r="10" spans="1:12" x14ac:dyDescent="0.2">
      <c r="C10" s="6" t="s">
        <v>39</v>
      </c>
    </row>
    <row r="11" spans="1:12" x14ac:dyDescent="0.2">
      <c r="B11" s="6" t="s">
        <v>40</v>
      </c>
      <c r="C11" s="7" t="s">
        <v>41</v>
      </c>
    </row>
    <row r="14" spans="1:12" x14ac:dyDescent="0.2">
      <c r="B14" s="5" t="s">
        <v>42</v>
      </c>
      <c r="C14" s="5" t="s">
        <v>39</v>
      </c>
    </row>
    <row r="15" spans="1:12" x14ac:dyDescent="0.2">
      <c r="B15" s="7" t="s">
        <v>37</v>
      </c>
      <c r="C15" s="7" t="s">
        <v>43</v>
      </c>
    </row>
    <row r="16" spans="1:12" x14ac:dyDescent="0.2">
      <c r="B16" s="7" t="s">
        <v>38</v>
      </c>
      <c r="C16" s="7" t="s">
        <v>44</v>
      </c>
    </row>
    <row r="18" spans="2:3" x14ac:dyDescent="0.2">
      <c r="B18" s="5" t="s">
        <v>35</v>
      </c>
      <c r="C18" s="5" t="s">
        <v>39</v>
      </c>
    </row>
    <row r="19" spans="2:3" x14ac:dyDescent="0.2">
      <c r="B19" s="7" t="s">
        <v>45</v>
      </c>
      <c r="C19" s="7" t="s">
        <v>46</v>
      </c>
    </row>
    <row r="20" spans="2:3" x14ac:dyDescent="0.2">
      <c r="B20" s="7" t="s">
        <v>47</v>
      </c>
      <c r="C20" s="7" t="s">
        <v>48</v>
      </c>
    </row>
    <row r="21" spans="2:3" x14ac:dyDescent="0.2">
      <c r="B21" s="7" t="s">
        <v>49</v>
      </c>
      <c r="C21" s="7" t="s">
        <v>50</v>
      </c>
    </row>
    <row r="22" spans="2:3" x14ac:dyDescent="0.2">
      <c r="B22" s="7" t="s">
        <v>51</v>
      </c>
      <c r="C22" s="7" t="s">
        <v>52</v>
      </c>
    </row>
    <row r="23" spans="2:3" x14ac:dyDescent="0.2">
      <c r="B23" s="7" t="s">
        <v>53</v>
      </c>
      <c r="C23" s="7" t="s">
        <v>54</v>
      </c>
    </row>
    <row r="24" spans="2:3" x14ac:dyDescent="0.2">
      <c r="B24" s="7" t="s">
        <v>23</v>
      </c>
    </row>
    <row r="25" spans="2:3" x14ac:dyDescent="0.2">
      <c r="B25" s="7" t="s">
        <v>55</v>
      </c>
      <c r="C25" s="7" t="s">
        <v>56</v>
      </c>
    </row>
    <row r="27" spans="2:3" x14ac:dyDescent="0.2">
      <c r="B27" s="5" t="s">
        <v>36</v>
      </c>
      <c r="C27" s="5" t="s">
        <v>39</v>
      </c>
    </row>
    <row r="28" spans="2:3" x14ac:dyDescent="0.2">
      <c r="B28" s="8">
        <v>0.25</v>
      </c>
      <c r="C28" s="7" t="s">
        <v>57</v>
      </c>
    </row>
    <row r="29" spans="2:3" x14ac:dyDescent="0.2">
      <c r="B29" s="8">
        <v>0.5</v>
      </c>
      <c r="C29" s="7" t="s">
        <v>58</v>
      </c>
    </row>
    <row r="30" spans="2:3" x14ac:dyDescent="0.2">
      <c r="B30" s="8">
        <v>0.75</v>
      </c>
      <c r="C30" s="7" t="s">
        <v>59</v>
      </c>
    </row>
    <row r="31" spans="2:3" x14ac:dyDescent="0.2">
      <c r="B31" s="9" t="s">
        <v>24</v>
      </c>
      <c r="C31" s="7" t="s">
        <v>60</v>
      </c>
    </row>
    <row r="33" spans="3:3" x14ac:dyDescent="0.2">
      <c r="C33" s="7" t="s">
        <v>61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Week (1)</vt:lpstr>
      <vt:lpstr>Week (2)</vt: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Yorch</dc:creator>
  <cp:lastModifiedBy>ASUS</cp:lastModifiedBy>
  <cp:lastPrinted>2024-12-07T04:35:57Z</cp:lastPrinted>
  <dcterms:created xsi:type="dcterms:W3CDTF">2024-06-25T04:00:51Z</dcterms:created>
  <dcterms:modified xsi:type="dcterms:W3CDTF">2026-04-11T01:36:38Z</dcterms:modified>
</cp:coreProperties>
</file>