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nns\Desktop\"/>
    </mc:Choice>
  </mc:AlternateContent>
  <xr:revisionPtr revIDLastSave="0" documentId="8_{D20C0EDA-9CD8-44E6-99C9-B89508528155}" xr6:coauthVersionLast="47" xr6:coauthVersionMax="47" xr10:uidLastSave="{00000000-0000-0000-0000-000000000000}"/>
  <bookViews>
    <workbookView xWindow="-98" yWindow="-98" windowWidth="21795" windowHeight="12975" xr2:uid="{D7FC41CF-9CF1-453C-B2E3-55EF0290704F}"/>
  </bookViews>
  <sheets>
    <sheet name="Sales by customers" sheetId="1" r:id="rId1"/>
  </sheets>
  <definedNames>
    <definedName name="_xlnm._FilterDatabase" localSheetId="0" hidden="1">'Sales by customers'!$F$4:$X$104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0">'Sales by customers'!$A:$C,'Sales by customers'!$4:$4</definedName>
    <definedName name="QB_BASIS_4" localSheetId="0" hidden="1">'Sales by customers'!$X$3</definedName>
    <definedName name="QB_COLUMN_1" localSheetId="0" hidden="1">'Sales by customers'!$D$4</definedName>
    <definedName name="QB_COLUMN_14" localSheetId="0" hidden="1">'Sales by customers'!$P$4</definedName>
    <definedName name="QB_COLUMN_26" localSheetId="0" hidden="1">'Sales by customers'!$R$4</definedName>
    <definedName name="QB_COLUMN_27" localSheetId="0" hidden="1">'Sales by customers'!$T$4</definedName>
    <definedName name="QB_COLUMN_3" localSheetId="0" hidden="1">'Sales by customers'!$F$4</definedName>
    <definedName name="QB_COLUMN_30" localSheetId="0" hidden="1">'Sales by customers'!$V$4</definedName>
    <definedName name="QB_COLUMN_31" localSheetId="0" hidden="1">'Sales by customers'!$X$4</definedName>
    <definedName name="QB_COLUMN_4" localSheetId="0" hidden="1">'Sales by customers'!$H$4</definedName>
    <definedName name="QB_COLUMN_5" localSheetId="0" hidden="1">'Sales by customers'!$J$4</definedName>
    <definedName name="QB_COLUMN_7" localSheetId="0" hidden="1">'Sales by customers'!$N$4</definedName>
    <definedName name="QB_COLUMN_8" localSheetId="0" hidden="1">'Sales by customers'!$L$4</definedName>
    <definedName name="QB_COMPANY_0" localSheetId="0" hidden="1">'Sales by customers'!$A$1</definedName>
    <definedName name="QB_DATA_0" localSheetId="0" hidden="1">'Sales by customers'!$6:$6,'Sales by customers'!$9:$9,'Sales by customers'!$10:$10,'Sales by customers'!$11:$11,'Sales by customers'!$12:$12,'Sales by customers'!$15:$15,'Sales by customers'!$18:$18,'Sales by customers'!$19:$19,'Sales by customers'!$20:$20,'Sales by customers'!$21:$21,'Sales by customers'!$22:$22,'Sales by customers'!$23:$23,'Sales by customers'!$24:$24,'Sales by customers'!$25:$25,'Sales by customers'!$26:$26,'Sales by customers'!$27:$27</definedName>
    <definedName name="QB_DATA_1" localSheetId="0" hidden="1">'Sales by customers'!$28:$28,'Sales by customers'!$29:$29,'Sales by customers'!$30:$30,'Sales by customers'!$31:$31,'Sales by customers'!$32:$32,'Sales by customers'!$33:$33,'Sales by customers'!$34:$34,'Sales by customers'!$35:$35,'Sales by customers'!$36:$36,'Sales by customers'!$37:$37,'Sales by customers'!$38:$38,'Sales by customers'!$39:$39,'Sales by customers'!$40:$40,'Sales by customers'!$41:$41,'Sales by customers'!$42:$42,'Sales by customers'!$43:$43</definedName>
    <definedName name="QB_DATA_2" localSheetId="0" hidden="1">'Sales by customers'!$44:$44,'Sales by customers'!$45:$45,'Sales by customers'!$46:$46,'Sales by customers'!$47:$47,'Sales by customers'!$48:$48,'Sales by customers'!$49:$49,'Sales by customers'!$50:$50,'Sales by customers'!$51:$51,'Sales by customers'!$52:$52,'Sales by customers'!$53:$53,'Sales by customers'!$54:$54,'Sales by customers'!$55:$55,'Sales by customers'!$58:$58,'Sales by customers'!$59:$59,'Sales by customers'!$60:$60,'Sales by customers'!$61:$61</definedName>
    <definedName name="QB_DATA_3" localSheetId="0" hidden="1">'Sales by customers'!$64:$64,'Sales by customers'!$65:$65,'Sales by customers'!$66:$66,'Sales by customers'!$67:$67,'Sales by customers'!$68:$68,'Sales by customers'!$69:$69,'Sales by customers'!$72:$72,'Sales by customers'!$73:$73,'Sales by customers'!$74:$74,'Sales by customers'!$77:$77,'Sales by customers'!$80:$80,'Sales by customers'!$81:$81,'Sales by customers'!$82:$82,'Sales by customers'!$83:$83,'Sales by customers'!$84:$84,'Sales by customers'!$85:$85</definedName>
    <definedName name="QB_DATA_4" localSheetId="0" hidden="1">'Sales by customers'!$88:$88,'Sales by customers'!$89:$89,'Sales by customers'!$92:$92,'Sales by customers'!$93:$93,'Sales by customers'!$94:$94,'Sales by customers'!$95:$95,'Sales by customers'!$96:$96,'Sales by customers'!$97:$97,'Sales by customers'!$100:$100,'Sales by customers'!$101:$101,'Sales by customers'!$102:$102</definedName>
    <definedName name="QB_DATE_1" localSheetId="0" hidden="1">'Sales by customers'!$X$2</definedName>
    <definedName name="QB_FORMULA_0" localSheetId="0" hidden="1">'Sales by customers'!$V$6,'Sales by customers'!$X$6,'Sales by customers'!$R$7,'Sales by customers'!$V$7,'Sales by customers'!$X$7,'Sales by customers'!$V$9,'Sales by customers'!$X$9,'Sales by customers'!$V$10,'Sales by customers'!$X$10,'Sales by customers'!$V$11,'Sales by customers'!$X$11,'Sales by customers'!$V$12,'Sales by customers'!$X$12,'Sales by customers'!$R$13,'Sales by customers'!$V$13,'Sales by customers'!$X$13</definedName>
    <definedName name="QB_FORMULA_1" localSheetId="0" hidden="1">'Sales by customers'!$V$15,'Sales by customers'!$X$15,'Sales by customers'!$R$16,'Sales by customers'!$V$16,'Sales by customers'!$X$16,'Sales by customers'!$V$18,'Sales by customers'!$X$18,'Sales by customers'!$V$19,'Sales by customers'!$X$19,'Sales by customers'!$V$20,'Sales by customers'!$X$20,'Sales by customers'!$V$21,'Sales by customers'!$X$21,'Sales by customers'!$V$22,'Sales by customers'!$X$22,'Sales by customers'!$V$23</definedName>
    <definedName name="QB_FORMULA_10" localSheetId="0" hidden="1">'Sales by customers'!$X$90,'Sales by customers'!$V$92,'Sales by customers'!$X$92,'Sales by customers'!$V$93,'Sales by customers'!$X$93,'Sales by customers'!$V$94,'Sales by customers'!$X$94,'Sales by customers'!$V$95,'Sales by customers'!$X$95,'Sales by customers'!$V$96,'Sales by customers'!$X$96,'Sales by customers'!$V$97,'Sales by customers'!$X$97,'Sales by customers'!$R$98,'Sales by customers'!$V$98,'Sales by customers'!$X$98</definedName>
    <definedName name="QB_FORMULA_11" localSheetId="0" hidden="1">'Sales by customers'!$V$100,'Sales by customers'!$X$100,'Sales by customers'!$V$101,'Sales by customers'!$X$101,'Sales by customers'!$V$102,'Sales by customers'!$X$102,'Sales by customers'!$R$103,'Sales by customers'!$V$103,'Sales by customers'!$X$103,'Sales by customers'!$R$104,'Sales by customers'!$V$104,'Sales by customers'!$X$104</definedName>
    <definedName name="QB_FORMULA_2" localSheetId="0" hidden="1">'Sales by customers'!$X$23,'Sales by customers'!$V$24,'Sales by customers'!$X$24,'Sales by customers'!$V$25,'Sales by customers'!$X$25,'Sales by customers'!$V$26,'Sales by customers'!$X$26,'Sales by customers'!$V$27,'Sales by customers'!$X$27,'Sales by customers'!$V$28,'Sales by customers'!$X$28,'Sales by customers'!$V$29,'Sales by customers'!$X$29,'Sales by customers'!$V$30,'Sales by customers'!$X$30,'Sales by customers'!$V$31</definedName>
    <definedName name="QB_FORMULA_3" localSheetId="0" hidden="1">'Sales by customers'!$X$31,'Sales by customers'!$V$32,'Sales by customers'!$X$32,'Sales by customers'!$V$33,'Sales by customers'!$X$33,'Sales by customers'!$V$34,'Sales by customers'!$X$34,'Sales by customers'!$V$35,'Sales by customers'!$X$35,'Sales by customers'!$V$36,'Sales by customers'!$X$36,'Sales by customers'!$V$37,'Sales by customers'!$X$37,'Sales by customers'!$V$38,'Sales by customers'!$X$38,'Sales by customers'!$V$39</definedName>
    <definedName name="QB_FORMULA_4" localSheetId="0" hidden="1">'Sales by customers'!$X$39,'Sales by customers'!$V$40,'Sales by customers'!$X$40,'Sales by customers'!$V$41,'Sales by customers'!$X$41,'Sales by customers'!$V$42,'Sales by customers'!$X$42,'Sales by customers'!$V$43,'Sales by customers'!$X$43,'Sales by customers'!$V$44,'Sales by customers'!$X$44,'Sales by customers'!$V$45,'Sales by customers'!$X$45,'Sales by customers'!$V$46,'Sales by customers'!$X$46,'Sales by customers'!$V$47</definedName>
    <definedName name="QB_FORMULA_5" localSheetId="0" hidden="1">'Sales by customers'!$X$47,'Sales by customers'!$V$48,'Sales by customers'!$X$48,'Sales by customers'!$V$49,'Sales by customers'!$X$49,'Sales by customers'!$V$50,'Sales by customers'!$X$50,'Sales by customers'!$V$51,'Sales by customers'!$X$51,'Sales by customers'!$V$52,'Sales by customers'!$X$52,'Sales by customers'!$V$53,'Sales by customers'!$X$53,'Sales by customers'!$V$54,'Sales by customers'!$X$54,'Sales by customers'!$V$55</definedName>
    <definedName name="QB_FORMULA_6" localSheetId="0" hidden="1">'Sales by customers'!$X$55,'Sales by customers'!$R$56,'Sales by customers'!$V$56,'Sales by customers'!$X$56,'Sales by customers'!$V$58,'Sales by customers'!$X$58,'Sales by customers'!$V$59,'Sales by customers'!$X$59,'Sales by customers'!$V$60,'Sales by customers'!$X$60,'Sales by customers'!$V$61,'Sales by customers'!$X$61,'Sales by customers'!$R$62,'Sales by customers'!$V$62,'Sales by customers'!$X$62,'Sales by customers'!$V$64</definedName>
    <definedName name="QB_FORMULA_7" localSheetId="0" hidden="1">'Sales by customers'!$X$64,'Sales by customers'!$V$65,'Sales by customers'!$X$65,'Sales by customers'!$V$66,'Sales by customers'!$X$66,'Sales by customers'!$V$67,'Sales by customers'!$X$67,'Sales by customers'!$V$68,'Sales by customers'!$X$68,'Sales by customers'!$V$69,'Sales by customers'!$X$69,'Sales by customers'!$R$70,'Sales by customers'!$V$70,'Sales by customers'!$X$70,'Sales by customers'!$V$72,'Sales by customers'!$X$72</definedName>
    <definedName name="QB_FORMULA_8" localSheetId="0" hidden="1">'Sales by customers'!$V$73,'Sales by customers'!$X$73,'Sales by customers'!$V$74,'Sales by customers'!$X$74,'Sales by customers'!$R$75,'Sales by customers'!$V$75,'Sales by customers'!$X$75,'Sales by customers'!$V$77,'Sales by customers'!$X$77,'Sales by customers'!$R$78,'Sales by customers'!$V$78,'Sales by customers'!$X$78,'Sales by customers'!$V$80,'Sales by customers'!$X$80,'Sales by customers'!$V$81,'Sales by customers'!$X$81</definedName>
    <definedName name="QB_FORMULA_9" localSheetId="0" hidden="1">'Sales by customers'!$V$82,'Sales by customers'!$X$82,'Sales by customers'!$V$83,'Sales by customers'!$X$83,'Sales by customers'!$V$84,'Sales by customers'!$X$84,'Sales by customers'!$X$85,'Sales by customers'!$R$86,'Sales by customers'!$V$86,'Sales by customers'!$X$86,'Sales by customers'!$V$88,'Sales by customers'!$X$88,'Sales by customers'!$V$89,'Sales by customers'!$X$89,'Sales by customers'!$R$90,'Sales by customers'!$V$90</definedName>
    <definedName name="QB_ROW_155010" localSheetId="0" hidden="1">'Sales by customers'!$C$17</definedName>
    <definedName name="QB_ROW_155310" localSheetId="0" hidden="1">'Sales by customers'!$C$56</definedName>
    <definedName name="QB_ROW_158010" localSheetId="0" hidden="1">'Sales by customers'!$C$91</definedName>
    <definedName name="QB_ROW_158310" localSheetId="0" hidden="1">'Sales by customers'!$C$98</definedName>
    <definedName name="QB_ROW_159010" localSheetId="0" hidden="1">'Sales by customers'!$C$57</definedName>
    <definedName name="QB_ROW_159310" localSheetId="0" hidden="1">'Sales by customers'!$C$62</definedName>
    <definedName name="QB_ROW_161010" localSheetId="0" hidden="1">'Sales by customers'!$C$76</definedName>
    <definedName name="QB_ROW_161310" localSheetId="0" hidden="1">'Sales by customers'!$C$78</definedName>
    <definedName name="QB_ROW_162010" localSheetId="0" hidden="1">'Sales by customers'!$C$5</definedName>
    <definedName name="QB_ROW_162310" localSheetId="0" hidden="1">'Sales by customers'!$C$7</definedName>
    <definedName name="QB_ROW_163010" localSheetId="0" hidden="1">'Sales by customers'!$C$87</definedName>
    <definedName name="QB_ROW_163310" localSheetId="0" hidden="1">'Sales by customers'!$C$90</definedName>
    <definedName name="QB_ROW_164010" localSheetId="0" hidden="1">'Sales by customers'!$C$8</definedName>
    <definedName name="QB_ROW_164310" localSheetId="0" hidden="1">'Sales by customers'!$C$13</definedName>
    <definedName name="QB_ROW_26010" localSheetId="0" hidden="1">'Sales by customers'!$C$14</definedName>
    <definedName name="QB_ROW_26310" localSheetId="0" hidden="1">'Sales by customers'!$C$16</definedName>
    <definedName name="QB_ROW_31301" localSheetId="0" hidden="1">'Sales by customers'!$A$104</definedName>
    <definedName name="QB_ROW_43010" localSheetId="0" hidden="1">'Sales by customers'!$C$63</definedName>
    <definedName name="QB_ROW_43310" localSheetId="0" hidden="1">'Sales by customers'!$C$70</definedName>
    <definedName name="QB_ROW_44010" localSheetId="0" hidden="1">'Sales by customers'!$C$71</definedName>
    <definedName name="QB_ROW_44310" localSheetId="0" hidden="1">'Sales by customers'!$C$75</definedName>
    <definedName name="QB_ROW_64010" localSheetId="0" hidden="1">'Sales by customers'!$C$79</definedName>
    <definedName name="QB_ROW_64310" localSheetId="0" hidden="1">'Sales by customers'!$C$86</definedName>
    <definedName name="QB_ROW_82010" localSheetId="0" hidden="1">'Sales by customers'!$C$99</definedName>
    <definedName name="QB_ROW_82310" localSheetId="0" hidden="1">'Sales by customers'!$C$103</definedName>
    <definedName name="QB_SUBTITLE_3" localSheetId="0" hidden="1">'Sales by customers'!$A$3</definedName>
    <definedName name="QB_TIME_5" localSheetId="0" hidden="1">'Sales by customers'!$X$1</definedName>
    <definedName name="QB_TITLE_2" localSheetId="0" hidden="1">'Sales by customers'!$A$2</definedName>
    <definedName name="QBCANSUPPORTUPDATE" localSheetId="0">TRUE</definedName>
    <definedName name="QBCOMPANYFILENAME" localSheetId="0">"\\192.168.88.219\quickbook 18\LIMPERIAL TECHNOLOGY (INTERNAL).qbw"</definedName>
    <definedName name="QBHEADERSONSCREEN" localSheetId="0">TRUE</definedName>
    <definedName name="QBMETADATASIZE" localSheetId="0">7535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0</definedName>
    <definedName name="QBREPORTCOMPANYID" localSheetId="0">"e3ab34dee99b477483b617d9f312a2b2"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13</definedName>
    <definedName name="QBREPORTSUBCOLAXIS" localSheetId="0">0</definedName>
    <definedName name="QBREPORTTYPE" localSheetId="0">44</definedName>
    <definedName name="QBROWHEADERS" localSheetId="0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03" i="1" l="1"/>
  <c r="V102" i="1"/>
  <c r="V101" i="1"/>
  <c r="V100" i="1"/>
  <c r="R98" i="1"/>
  <c r="V97" i="1"/>
  <c r="V96" i="1"/>
  <c r="V95" i="1"/>
  <c r="V94" i="1"/>
  <c r="V93" i="1"/>
  <c r="V92" i="1"/>
  <c r="R90" i="1"/>
  <c r="V89" i="1"/>
  <c r="V88" i="1"/>
  <c r="R86" i="1"/>
  <c r="V84" i="1"/>
  <c r="V83" i="1"/>
  <c r="V82" i="1"/>
  <c r="V81" i="1"/>
  <c r="V80" i="1"/>
  <c r="X80" i="1" s="1"/>
  <c r="X81" i="1" s="1"/>
  <c r="X82" i="1" s="1"/>
  <c r="R78" i="1"/>
  <c r="V77" i="1"/>
  <c r="V78" i="1" s="1"/>
  <c r="R75" i="1"/>
  <c r="V74" i="1"/>
  <c r="V73" i="1"/>
  <c r="V72" i="1"/>
  <c r="X72" i="1" s="1"/>
  <c r="R70" i="1"/>
  <c r="V69" i="1"/>
  <c r="V68" i="1"/>
  <c r="V67" i="1"/>
  <c r="V66" i="1"/>
  <c r="V65" i="1"/>
  <c r="V64" i="1"/>
  <c r="V70" i="1" s="1"/>
  <c r="R62" i="1"/>
  <c r="V61" i="1"/>
  <c r="V60" i="1"/>
  <c r="V59" i="1"/>
  <c r="V58" i="1"/>
  <c r="X58" i="1" s="1"/>
  <c r="R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X18" i="1" s="1"/>
  <c r="X19" i="1" s="1"/>
  <c r="X20" i="1" s="1"/>
  <c r="X21" i="1" s="1"/>
  <c r="R16" i="1"/>
  <c r="V15" i="1"/>
  <c r="V16" i="1" s="1"/>
  <c r="R13" i="1"/>
  <c r="V12" i="1"/>
  <c r="V11" i="1"/>
  <c r="V10" i="1"/>
  <c r="V9" i="1"/>
  <c r="X9" i="1" s="1"/>
  <c r="R7" i="1"/>
  <c r="V6" i="1"/>
  <c r="V7" i="1" s="1"/>
  <c r="X22" i="1" l="1"/>
  <c r="X83" i="1"/>
  <c r="X84" i="1" s="1"/>
  <c r="X85" i="1" s="1"/>
  <c r="X86" i="1" s="1"/>
  <c r="V98" i="1"/>
  <c r="V103" i="1"/>
  <c r="V90" i="1"/>
  <c r="X23" i="1"/>
  <c r="V75" i="1"/>
  <c r="V13" i="1"/>
  <c r="X24" i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9" i="1"/>
  <c r="X60" i="1" s="1"/>
  <c r="X61" i="1" s="1"/>
  <c r="X62" i="1" s="1"/>
  <c r="X73" i="1"/>
  <c r="X74" i="1" s="1"/>
  <c r="X75" i="1" s="1"/>
  <c r="V86" i="1"/>
  <c r="R104" i="1"/>
  <c r="X10" i="1"/>
  <c r="X11" i="1" s="1"/>
  <c r="X12" i="1" s="1"/>
  <c r="X13" i="1" s="1"/>
  <c r="V62" i="1"/>
  <c r="X88" i="1"/>
  <c r="X89" i="1" s="1"/>
  <c r="X90" i="1" s="1"/>
  <c r="V56" i="1"/>
  <c r="X100" i="1"/>
  <c r="X101" i="1" s="1"/>
  <c r="X102" i="1" s="1"/>
  <c r="X103" i="1" s="1"/>
  <c r="X6" i="1"/>
  <c r="X7" i="1" s="1"/>
  <c r="X64" i="1"/>
  <c r="X65" i="1" s="1"/>
  <c r="X66" i="1" s="1"/>
  <c r="X67" i="1" s="1"/>
  <c r="X68" i="1" s="1"/>
  <c r="X69" i="1" s="1"/>
  <c r="X70" i="1" s="1"/>
  <c r="X77" i="1"/>
  <c r="X78" i="1" s="1"/>
  <c r="X15" i="1"/>
  <c r="X16" i="1" s="1"/>
  <c r="X92" i="1"/>
  <c r="X93" i="1" s="1"/>
  <c r="X94" i="1" s="1"/>
  <c r="X95" i="1" s="1"/>
  <c r="X96" i="1" s="1"/>
  <c r="X97" i="1" s="1"/>
  <c r="X98" i="1" s="1"/>
  <c r="V104" i="1" l="1"/>
  <c r="X104" i="1"/>
</calcChain>
</file>

<file path=xl/sharedStrings.xml><?xml version="1.0" encoding="utf-8"?>
<sst xmlns="http://schemas.openxmlformats.org/spreadsheetml/2006/main" count="427" uniqueCount="160">
  <si>
    <t>4:33 PM</t>
  </si>
  <si>
    <t>LIMPERIAL TECHNOLOGY (INTERNAL)</t>
  </si>
  <si>
    <t>Sales by Customer Detail</t>
  </si>
  <si>
    <t>Accrual Basis</t>
  </si>
  <si>
    <t>All Transactions</t>
  </si>
  <si>
    <t>Type</t>
  </si>
  <si>
    <t>Date</t>
  </si>
  <si>
    <t>Num</t>
  </si>
  <si>
    <t>Memo</t>
  </si>
  <si>
    <t>Name</t>
  </si>
  <si>
    <t>Item</t>
  </si>
  <si>
    <t>Qty</t>
  </si>
  <si>
    <t>Sales Price</t>
  </si>
  <si>
    <t>Amount</t>
  </si>
  <si>
    <t>Balance</t>
  </si>
  <si>
    <t>BMSC</t>
  </si>
  <si>
    <t>Total BMSC</t>
  </si>
  <si>
    <t>CCU Commercial Bank</t>
  </si>
  <si>
    <t>Total CCU Commercial Bank</t>
  </si>
  <si>
    <t>ECAM SOLUTION CO., LTD.</t>
  </si>
  <si>
    <t>Total ECAM SOLUTION CO., LTD.</t>
  </si>
  <si>
    <t>GANZBERG BREWERY</t>
  </si>
  <si>
    <t>Total GANZBERG BREWERY</t>
  </si>
  <si>
    <t>ICTECH SOLUTIONS</t>
  </si>
  <si>
    <t>Total ICTECH SOLUTIONS</t>
  </si>
  <si>
    <t>IT SOLUTION DIGITAL CO.,LTD</t>
  </si>
  <si>
    <t>Total IT SOLUTION DIGITAL CO.,LTD</t>
  </si>
  <si>
    <t>IT SOLUTION PARTNER</t>
  </si>
  <si>
    <t>Total IT SOLUTION PARTNER</t>
  </si>
  <si>
    <t>MYTEB MALAYSIA</t>
  </si>
  <si>
    <t>Total MYTEB MALAYSIA</t>
  </si>
  <si>
    <t>PROXY SOLUTIONS Co.,LTD</t>
  </si>
  <si>
    <t>Total PROXY SOLUTIONS Co.,LTD</t>
  </si>
  <si>
    <t>SOKIMEX INVESTMENT GROUP CO.</t>
  </si>
  <si>
    <t>Total SOKIMEX INVESTMENT GROUP CO.</t>
  </si>
  <si>
    <t>TECHWIZ SOLUTIONS</t>
  </si>
  <si>
    <t>Total TECHWIZ SOLUTIONS</t>
  </si>
  <si>
    <t>Tonle Sap Authority</t>
  </si>
  <si>
    <t>Total Tonle Sap Authority</t>
  </si>
  <si>
    <t>TOTAL</t>
  </si>
  <si>
    <t>Invoice</t>
  </si>
  <si>
    <t>Credit Memo</t>
  </si>
  <si>
    <t>SJ0000281</t>
  </si>
  <si>
    <t>SJ0000607</t>
  </si>
  <si>
    <t>05SJ0000304</t>
  </si>
  <si>
    <t>SJ0000019</t>
  </si>
  <si>
    <t>SJ0001028</t>
  </si>
  <si>
    <t>SJ0000024</t>
  </si>
  <si>
    <t>SJ0000105</t>
  </si>
  <si>
    <t>SJ0000154</t>
  </si>
  <si>
    <t>SJ0000156</t>
  </si>
  <si>
    <t>SJ0000307</t>
  </si>
  <si>
    <t>SJ0000325</t>
  </si>
  <si>
    <t>SJ0000379</t>
  </si>
  <si>
    <t>SJ0000463</t>
  </si>
  <si>
    <t>SJ0000441</t>
  </si>
  <si>
    <t>SJ0000586</t>
  </si>
  <si>
    <t>05SJ0000118</t>
  </si>
  <si>
    <t>05SJ0000269</t>
  </si>
  <si>
    <t>SJ0000270</t>
  </si>
  <si>
    <t>SJ0000687</t>
  </si>
  <si>
    <t>SJ0000845</t>
  </si>
  <si>
    <t>SJ0000895</t>
  </si>
  <si>
    <t>SJ0000240</t>
  </si>
  <si>
    <t>SJ0000241</t>
  </si>
  <si>
    <t>05SJ0000113</t>
  </si>
  <si>
    <t>SJ0000568</t>
  </si>
  <si>
    <t>SJ0000746</t>
  </si>
  <si>
    <t>2025-00171</t>
  </si>
  <si>
    <t>SJ0000539</t>
  </si>
  <si>
    <t>TI2026-0000</t>
  </si>
  <si>
    <t>SJ0000507</t>
  </si>
  <si>
    <t>SJ0000232</t>
  </si>
  <si>
    <t>SJ0000620</t>
  </si>
  <si>
    <t>05SJ0000303</t>
  </si>
  <si>
    <t>SJ0000213</t>
  </si>
  <si>
    <t>Asus TUF Gaming VG27AQ5A  27", Fast IPS/ QHD (2560x1440)/ 210Hz(OC)/ 1ms(GTG)/ DisplayPort 1.4 x...</t>
  </si>
  <si>
    <t>Lenovo IdeaPad Slim 3 14IRH10R (83K3001PFQ)  Intel Core 7 240H/ 8GB Soldered + 8GB SODIMM DDR5-4...</t>
  </si>
  <si>
    <t xml:space="preserve">Lenovo CASE_BO 16 inch BP B210 Eco ROW (GX41L83768)  </t>
  </si>
  <si>
    <t xml:space="preserve">Mouse Apoint Wirelese T3+  </t>
  </si>
  <si>
    <t>SAC00003</t>
  </si>
  <si>
    <t>MSI Raider 18 HX AI A2XWIG-200KH  Intel Core Ultra 9 275HX/ RTX 5080 Laptop GPU, GDDR7 16GB/ 18"...</t>
  </si>
  <si>
    <t>Asus GU605CM-QR058W 2E-ECLIPSE GRAY  Intel Core Ultra 9 Processor 285H/ LPDDR5X 32G [ON BD.]/ 1T...</t>
  </si>
  <si>
    <t>Lenovo ThinkPad E16 Gen 3 (21SR004AFQ)  Intel Core Ultra 5 225U/ 1x 16GB SODIMM DDR5-5600/ 512GB...</t>
  </si>
  <si>
    <t>Lenovo IdeaCentre AIO 27IRH9 (F0HM00T2VN)  Intel Core i7-13620H/ Integrated Intel UHD Graphics/ ...</t>
  </si>
  <si>
    <t xml:space="preserve">MOUSE Apoint  </t>
  </si>
  <si>
    <t>MSI Raider 18 HX AI A2XWJG-1015KH  Intel Core Ultra 9 285HX/ DDR5 6400MHz 32GB*2/ 2TB NVMe PCIe ...</t>
  </si>
  <si>
    <t>Lenovo IdeaPad Slim 5 16IMH10 (83V7001MFQ)  Intel Core Ultra 5 135H/ 2x 8GB SODIMM DDR5-5600/ 51...</t>
  </si>
  <si>
    <t>ASUS GA403WM-QS044WS-Eclipse Gray</t>
  </si>
  <si>
    <t>ASUS Zenbook UX3405CA-PZ331W-Ponder Blue</t>
  </si>
  <si>
    <t>Legion 5 15IRX10 (83LY00S9FQ)</t>
  </si>
  <si>
    <t>ADATA 16GB DDR5-4800 Laptop</t>
  </si>
  <si>
    <t>Kingston NV3 1TB M.2 2280 NVMe SSD | PCIe 4.0 Gen 4x4 | Up to 6000 MB/s | SNV3S/1000G</t>
  </si>
  <si>
    <t>Sale Discount</t>
  </si>
  <si>
    <t xml:space="preserve">Raider 18 Max HX A2WJ-1202KH  </t>
  </si>
  <si>
    <t>Asus GU605CR-QR105W 8E-ECLIPSE GRAY  Intel Core Ultra 9 Processor 285H/ LPDDR5X 32G [ON BD.]/ 1T...</t>
  </si>
  <si>
    <t>Lenovo IdeaCentre AIO 24IRH9 (F0HN00T4VN)  Intel Core i5-13420H/ Integrated Intel UHD Graphics/ ...</t>
  </si>
  <si>
    <t>Lenovo LOQ 15IRX10 (83JE0132FQ)  Intel Core i7-14700HX/ 2x 16GB SODIMM DDR5-5600/ 512GB SSD M.2 ...</t>
  </si>
  <si>
    <t xml:space="preserve">Lenovo CASE_BO IdeaPad Modern BP_Black(GX41H70101)  </t>
  </si>
  <si>
    <t xml:space="preserve">Asus ROG P711 Gladius III Wireless AimPoint  </t>
  </si>
  <si>
    <t xml:space="preserve">Asus TUF Gaming K3 Gen II (Red Switch)  </t>
  </si>
  <si>
    <t>MSI Cyborg 14 A13VF-216KH  Raptor Lake i7-13620H/ DDR5 8GB*2/ 1TB NVMePCIe SSDGen4x4 w/oDRAM/ RT...</t>
  </si>
  <si>
    <t>MSI MAG A750GL PCIE5  ( 750W / 80 Plus Gold / Full Modular / Active PFC / PCIe 5.1 / ATX 3.1 / F...</t>
  </si>
  <si>
    <t xml:space="preserve">Cyborg 15 Black Edition A13UC-2440KH  </t>
  </si>
  <si>
    <t>Asus TUF Gaming VG259Q5A  24.5", Fast IPS/ FHD (1920x1080)/ 200Hz, 1ms(GTG)/ DisplayPort 1.4 x 1...</t>
  </si>
  <si>
    <t>Asus E1404FA-EB945W 1K-MIXED BLACK  AMD RYZEN 3 30/ LPDDR5 8G [ON BD.]/ 512GB M.2 NVMe PCIe 3.0 ...</t>
  </si>
  <si>
    <t xml:space="preserve">ASUS Wireless Silent Mouse MW103  Wireless RF 2.4GHz/ 1600dpi/ RF Distance Up to 10m/ 1 year  </t>
  </si>
  <si>
    <t>E1504FA-BQ4298W 1K-MIXED BLACK</t>
  </si>
  <si>
    <t>refKH26-05-SJ0000275</t>
  </si>
  <si>
    <t>Vat Out</t>
  </si>
  <si>
    <t>Lenovo ThinkCentre neo 50t Gen 5 (12UB001TFQ)  Intel Core i3-14100/ 1x 16GB UDIMM DDR5-4800/ 512...</t>
  </si>
  <si>
    <t>MSI Cyborg 15 A13VEK-2253KH  Raptor Lake i7-13620H/ DDR5 16GB/ 512GB NVMe PCIe SSD Gen4x4/ RTX 4...</t>
  </si>
  <si>
    <t>MSI Cyborg 15 A13VEK-2252KH-Translucent Black</t>
  </si>
  <si>
    <t>Prestige 16 AI+ C3MG-036KH</t>
  </si>
  <si>
    <t>Dell Pro Tower Essential QVT1260 Intel Core i7-14700</t>
  </si>
  <si>
    <t>Dell E2225HM21.5"/ FHD (1920X1080), 100Hz/1xHDMI</t>
  </si>
  <si>
    <t>ASUS Acc. &amp; PW Supply:SLC00120 (Asus TUF Gaming VG27AQ5A  27", Fast IPS/ QHD (2560x1440)/ 210Hz(...</t>
  </si>
  <si>
    <t>LENOVO:LNB00046 (Lenovo IdeaPad Slim 3 14IRH10R (83K3001PFQ)  Intel Core 7 240H/ 8GB Soldered + ...</t>
  </si>
  <si>
    <t>LENOVO  Accessories:LAC00065 (Lenovo CASE_BO 16 inch BP B210 Eco ROW (GX41L83768)  )</t>
  </si>
  <si>
    <t>Other Accessories:OA00961 (Mouse Apoint Wirelese T3+  )</t>
  </si>
  <si>
    <t>Other Accessories:SAC00003 (SAC00003)</t>
  </si>
  <si>
    <t>Sale Promotion</t>
  </si>
  <si>
    <t>MSI:MNB00593 (MSI Raider 18 HX AI A2XWIG-200KH  Intel Core Ultra 9 275HX/ RTX 5080 Laptop GPU, G...</t>
  </si>
  <si>
    <t>ASUS:SNB01321 (Asus GU605CM-QR058W 2E-ECLIPSE GRAY  Intel Core Ultra 9 Processor 285H/ LPDDR5X 3...</t>
  </si>
  <si>
    <t>LENOVO:LNB00049 (Lenovo ThinkPad E16 Gen 3 (21SR004AFQ)  Intel Core Ultra 5 225U/ 1x 16GB SODIMM...</t>
  </si>
  <si>
    <t>LENOVO:LPC00004 (Lenovo IdeaCentre AIO 27IRH9 (F0HM00T2VN)  Intel Core i7-13620H/ Integrated Int...</t>
  </si>
  <si>
    <t>Other Accessories:OA00410 (MOUSE Apoint  )</t>
  </si>
  <si>
    <t>MSI:MNB00212 (MSI Raider 18 HX AI A2XWJG-1015KH  Intel Core Ultra 9 285HX/ DDR5 6400MHz 32GB*2/ ...</t>
  </si>
  <si>
    <t>LENOVO:LNB00048 (Lenovo IdeaPad Slim 5 16IMH10 (83V7001MFQ)  Intel Core Ultra 5 135H/ 2x 8GB SOD...</t>
  </si>
  <si>
    <t>ASUS:SNB01333 (ASUS GA403WM-QS044WS-Eclipse Gray)</t>
  </si>
  <si>
    <t>ASUS:SNB01279 (ASUS Zenbook UX3405CA-PZ331W-Ponder Blue)</t>
  </si>
  <si>
    <t>LENOVO:LNB00054 (Legion 5 15IRX10 (83LY00S9FQ))</t>
  </si>
  <si>
    <t>Other Accessories:OA00379 (ADATA 16GB DDR5-4800 Laptop)</t>
  </si>
  <si>
    <t>Other Accessories:OA00378 (Kingston NV3 1TB M.2 2280 NVMe SSD | PCIe 4.0 Gen 4x4 | Up to 6000 MB...</t>
  </si>
  <si>
    <t>Sale Discount (Sale Discount)</t>
  </si>
  <si>
    <t>MSI:MNB00226 (Raider 18 Max HX A2WJ-1202KH  )</t>
  </si>
  <si>
    <t>ASUS:SNB01316 (Asus GU605CR-QR105W 8E-ECLIPSE GRAY  Intel Core Ultra 9 Processor 285H/ LPDDR5X 3...</t>
  </si>
  <si>
    <t>LENOVO:LPC00001 (Lenovo IdeaCentre AIO 24IRH9 (F0HN00T4VN)  Intel Core i5-13420H/ Integrated Int...</t>
  </si>
  <si>
    <t>LENOVO:LNB00044 (Lenovo LOQ 15IRX10 (83JE0132FQ)  Intel Core i7-14700HX/ 2x 16GB SODIMM DDR5-560...</t>
  </si>
  <si>
    <t>LENOVO  Accessories:LAC00050 (Lenovo CASE_BO IdeaPad Modern BP_Black(GX41H70101)  )</t>
  </si>
  <si>
    <t>ASUS Acc. &amp; PW Supply:SAC00360 (Asus ROG P711 Gladius III Wireless AimPoint  )</t>
  </si>
  <si>
    <t>ASUS Acc. &amp; PW Supply:SAC00373 (Asus TUF Gaming K3 Gen II (Red Switch)  )</t>
  </si>
  <si>
    <t>MSI:MNB00542 (MSI Cyborg 14 A13VF-216KH  Raptor Lake i7-13620H/ DDR5 8GB*2/ 1TB NVMePCIe SSDGen4...</t>
  </si>
  <si>
    <t>MSI Acc. &amp; PW Supply:MAC00307 (MSI MAG A750GL PCIE5  ( 750W / 80 Plus Gold / Full Modular / Acti...</t>
  </si>
  <si>
    <t>MSI:MNB00220 (Cyborg 15 Black Edition A13UC-2440KH  )</t>
  </si>
  <si>
    <t>ASUS Acc. &amp; PW Supply:SLC00119 (Asus TUF Gaming VG259Q5A  24.5", Fast IPS/ FHD (1920x1080)/ 200H...</t>
  </si>
  <si>
    <t>Deposit</t>
  </si>
  <si>
    <t>ASUS:SNB01386 (Asus E1404FA-EB945W 1K-MIXED BLACK  AMD RYZEN 3 30/ LPDDR5 8G [ON BD.]/ 512GB M.2...</t>
  </si>
  <si>
    <t>ASUS Acc. &amp; PW Supply:SAC00388 (ASUS Wireless Silent Mouse MW103  Wireless RF 2.4GHz/ 1600dpi/ R...</t>
  </si>
  <si>
    <t>ASUS:SNB01389 (E1504FA-BQ4298W 1K-MIXED BLACK)</t>
  </si>
  <si>
    <t>Vat Out (Vat Out)</t>
  </si>
  <si>
    <t>LENOVO:LPC00063 (Lenovo ThinkCentre neo 50t Gen 5 (12UB001TFQ)  Intel Core i3-14100/ 1x 16GB UDI...</t>
  </si>
  <si>
    <t>MSI:MNB00215 (MSI Cyborg 15 A13VEK-2253KH  Raptor Lake i7-13620H/ DDR5 16GB/ 512GB NVMe PCIe SSD...</t>
  </si>
  <si>
    <t>MSI:MNB00214 (MSI Cyborg 15 A13VEK-2252KH-Translucent Black)</t>
  </si>
  <si>
    <t>MSI:MNB00232 (Prestige 16 AI+ C3MG-036KH)</t>
  </si>
  <si>
    <t>DELL:DPC00026 (Dell Pro Tower Essential QVT1260 Intel Core i7-14700)</t>
  </si>
  <si>
    <t>DELL:DLC00027 (Dell E2225HM21.5"/ FHD (1920X1080), 100Hz/1xHDMI)</t>
  </si>
  <si>
    <t>Model</t>
  </si>
  <si>
    <t>B2B</t>
  </si>
  <si>
    <t>B2C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</si>
</sst>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\/dd\/yyyy"/>
    <numFmt numFmtId="165" formatCode="dd\/mm\/yyyy"/>
    <numFmt numFmtId="166" formatCode="#,##0.00###;[Red]\-#,##0.00###"/>
    <numFmt numFmtId="167" formatCode="#,##0.0#%;[Red]\-#,##0.0#%"/>
  </numFmts>
  <fonts count="6" x14ac:knownFonts="1">
    <font>
      <sz val="11"/>
      <color theme="1"/>
      <name val="Calibri"/>
      <family val="2"/>
      <scheme val="minor"/>
    </font>
    <font>
      <sz val="11"/>
      <color rgb="FF000080"/>
      <name val="Century Gothic"/>
      <family val="2"/>
    </font>
    <font>
      <sz val="12"/>
      <color rgb="FF000080"/>
      <name val="Century Gothic"/>
      <family val="2"/>
    </font>
    <font>
      <sz val="14"/>
      <color rgb="FF000080"/>
      <name val="Century Gothic"/>
      <family val="2"/>
    </font>
    <font>
      <sz val="11"/>
      <color rgb="FF000000"/>
      <name val="Century Gothic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5" fillId="0" borderId="0"/>
  </cellStyleXfs>
  <cellXfs count="22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40" fontId="4" fillId="0" borderId="0" xfId="0" applyNumberFormat="1" applyFont="1"/>
    <xf numFmtId="166" fontId="4" fillId="0" borderId="2" xfId="0" applyNumberFormat="1" applyFont="1" applyBorder="1"/>
    <xf numFmtId="40" fontId="4" fillId="0" borderId="2" xfId="0" applyNumberFormat="1" applyFont="1" applyBorder="1"/>
    <xf numFmtId="167" fontId="4" fillId="0" borderId="0" xfId="0" applyNumberFormat="1" applyFont="1"/>
    <xf numFmtId="166" fontId="4" fillId="0" borderId="3" xfId="0" applyNumberFormat="1" applyFont="1" applyBorder="1"/>
    <xf numFmtId="40" fontId="4" fillId="0" borderId="3" xfId="0" applyNumberFormat="1" applyFont="1" applyBorder="1"/>
    <xf numFmtId="166" fontId="4" fillId="0" borderId="4" xfId="0" applyNumberFormat="1" applyFont="1" applyBorder="1"/>
    <xf numFmtId="40" fontId="4" fillId="0" borderId="4" xfId="0" applyNumberFormat="1" applyFont="1" applyBorder="1"/>
    <xf numFmtId="0" fontId="4" fillId="0" borderId="0" xfId="0" applyFont="1"/>
    <xf numFmtId="49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31D02D46-4986-4B4C-9715-0C485D7A71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714375</xdr:colOff>
          <xdr:row>1</xdr:row>
          <xdr:rowOff>9525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714375</xdr:colOff>
          <xdr:row>1</xdr:row>
          <xdr:rowOff>9525</xdr:rowOff>
        </xdr:to>
        <xdr:sp macro="" textlink="">
          <xdr:nvSpPr>
            <xdr:cNvPr id="1026" name="HEADER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C1A6-6E11-4CC3-9B8D-41DE4DD6ECAF}">
  <sheetPr codeName="Sheet1"/>
  <dimension ref="A1:X105"/>
  <sheetViews>
    <sheetView tabSelected="1" workbookViewId="0">
      <pane xSplit="3" ySplit="4" topLeftCell="D5" activePane="bottomRight" state="frozenSplit"/>
      <selection pane="topRight" activeCell="C1" sqref="C1"/>
      <selection pane="bottomLeft" activeCell="A5" sqref="A5"/>
      <selection pane="bottomRight" activeCell="J6" sqref="J6"/>
    </sheetView>
  </sheetViews>
  <sheetFormatPr defaultRowHeight="14.25" outlineLevelRow="2" outlineLevelCol="1" x14ac:dyDescent="0.45"/>
  <cols>
    <col min="1" max="1" width="3" customWidth="1"/>
    <col min="2" max="2" width="15.1328125" customWidth="1"/>
    <col min="3" max="3" width="42.86328125" customWidth="1"/>
    <col min="4" max="5" width="2.265625" customWidth="1"/>
    <col min="6" max="6" width="15" bestFit="1" customWidth="1"/>
    <col min="7" max="7" width="2.265625" customWidth="1"/>
    <col min="8" max="8" width="12.1328125" bestFit="1" customWidth="1"/>
    <col min="9" max="9" width="2.265625" customWidth="1"/>
    <col min="10" max="10" width="13.3984375" bestFit="1" customWidth="1"/>
    <col min="11" max="11" width="2.265625" customWidth="1"/>
    <col min="12" max="12" width="62.86328125" customWidth="1"/>
    <col min="13" max="13" width="2.265625" customWidth="1"/>
    <col min="14" max="14" width="30.73046875" customWidth="1"/>
    <col min="15" max="15" width="2.265625" customWidth="1"/>
    <col min="16" max="16" width="30.73046875" customWidth="1"/>
    <col min="17" max="17" width="2.265625" customWidth="1"/>
    <col min="18" max="18" width="9.265625" bestFit="1" customWidth="1" outlineLevel="1"/>
    <col min="19" max="19" width="2.265625" customWidth="1" outlineLevel="1"/>
    <col min="20" max="20" width="16.59765625" bestFit="1" customWidth="1" outlineLevel="1"/>
    <col min="21" max="21" width="2.265625" customWidth="1" outlineLevel="1"/>
    <col min="22" max="22" width="13.73046875" bestFit="1" customWidth="1"/>
    <col min="23" max="23" width="2.265625" customWidth="1"/>
    <col min="24" max="24" width="14.86328125" bestFit="1" customWidth="1"/>
  </cols>
  <sheetData>
    <row r="1" spans="1:24" ht="15.75" x14ac:dyDescent="0.45">
      <c r="A1" s="3" t="s">
        <v>1</v>
      </c>
      <c r="B1" s="3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7" t="s">
        <v>0</v>
      </c>
    </row>
    <row r="2" spans="1:24" ht="17.25" x14ac:dyDescent="0.45">
      <c r="A2" s="4" t="s">
        <v>2</v>
      </c>
      <c r="B2" s="4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8">
        <v>46167</v>
      </c>
    </row>
    <row r="3" spans="1:24" ht="14.65" x14ac:dyDescent="0.45">
      <c r="A3" s="2" t="s">
        <v>4</v>
      </c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7" t="s">
        <v>3</v>
      </c>
    </row>
    <row r="4" spans="1:24" s="21" customFormat="1" ht="15" thickBot="1" x14ac:dyDescent="0.5">
      <c r="A4" s="19"/>
      <c r="B4" s="19" t="s">
        <v>157</v>
      </c>
      <c r="C4" s="19"/>
      <c r="D4" s="19"/>
      <c r="E4" s="19"/>
      <c r="F4" s="20" t="s">
        <v>5</v>
      </c>
      <c r="G4" s="19"/>
      <c r="H4" s="20" t="s">
        <v>6</v>
      </c>
      <c r="I4" s="19"/>
      <c r="J4" s="20" t="s">
        <v>7</v>
      </c>
      <c r="K4" s="19"/>
      <c r="L4" s="20" t="s">
        <v>8</v>
      </c>
      <c r="M4" s="19"/>
      <c r="N4" s="20" t="s">
        <v>9</v>
      </c>
      <c r="O4" s="19"/>
      <c r="P4" s="20" t="s">
        <v>10</v>
      </c>
      <c r="Q4" s="19"/>
      <c r="R4" s="20" t="s">
        <v>11</v>
      </c>
      <c r="S4" s="19"/>
      <c r="T4" s="20" t="s">
        <v>12</v>
      </c>
      <c r="U4" s="19"/>
      <c r="V4" s="20" t="s">
        <v>13</v>
      </c>
      <c r="W4" s="19"/>
      <c r="X4" s="20" t="s">
        <v>14</v>
      </c>
    </row>
    <row r="5" spans="1:24" ht="15" outlineLevel="2" thickTop="1" x14ac:dyDescent="0.45">
      <c r="A5" s="5"/>
      <c r="B5" s="5" t="s">
        <v>158</v>
      </c>
      <c r="C5" s="5" t="s">
        <v>15</v>
      </c>
      <c r="D5" s="5"/>
      <c r="E5" s="5"/>
      <c r="F5" s="5"/>
      <c r="G5" s="5"/>
      <c r="H5" s="6"/>
      <c r="I5" s="5"/>
      <c r="J5" s="5"/>
      <c r="K5" s="5"/>
      <c r="L5" s="5"/>
      <c r="M5" s="5"/>
      <c r="N5" s="5"/>
      <c r="O5" s="5"/>
      <c r="P5" s="5"/>
      <c r="Q5" s="5"/>
      <c r="R5" s="7"/>
      <c r="S5" s="5"/>
      <c r="T5" s="8"/>
      <c r="U5" s="5"/>
      <c r="V5" s="8"/>
      <c r="W5" s="5"/>
      <c r="X5" s="8"/>
    </row>
    <row r="6" spans="1:24" ht="15" outlineLevel="2" thickBot="1" x14ac:dyDescent="0.5">
      <c r="A6" s="1"/>
      <c r="B6" s="1"/>
      <c r="C6" s="1"/>
      <c r="D6" s="5"/>
      <c r="E6" s="5"/>
      <c r="F6" s="5" t="s">
        <v>40</v>
      </c>
      <c r="G6" s="5"/>
      <c r="H6" s="6">
        <v>46063</v>
      </c>
      <c r="I6" s="5"/>
      <c r="J6" s="5" t="s">
        <v>42</v>
      </c>
      <c r="K6" s="5"/>
      <c r="L6" s="5" t="s">
        <v>76</v>
      </c>
      <c r="M6" s="5"/>
      <c r="N6" s="5" t="s">
        <v>15</v>
      </c>
      <c r="O6" s="5"/>
      <c r="P6" s="5" t="s">
        <v>116</v>
      </c>
      <c r="Q6" s="5"/>
      <c r="R6" s="9">
        <v>1</v>
      </c>
      <c r="S6" s="5"/>
      <c r="T6" s="8">
        <v>172</v>
      </c>
      <c r="U6" s="5"/>
      <c r="V6" s="10">
        <f>ROUND(IF(ISNUMBER(T6), R6*T6, R6),5)</f>
        <v>172</v>
      </c>
      <c r="W6" s="5"/>
      <c r="X6" s="10">
        <f>ROUND(X5+V6,5)</f>
        <v>172</v>
      </c>
    </row>
    <row r="7" spans="1:24" ht="14.65" outlineLevel="1" x14ac:dyDescent="0.45">
      <c r="A7" s="5"/>
      <c r="B7" s="5"/>
      <c r="C7" s="5" t="s">
        <v>16</v>
      </c>
      <c r="D7" s="5"/>
      <c r="E7" s="5"/>
      <c r="F7" s="5"/>
      <c r="G7" s="5"/>
      <c r="H7" s="6"/>
      <c r="I7" s="5"/>
      <c r="J7" s="5"/>
      <c r="K7" s="5"/>
      <c r="L7" s="5"/>
      <c r="M7" s="5"/>
      <c r="N7" s="5"/>
      <c r="O7" s="5"/>
      <c r="P7" s="5"/>
      <c r="Q7" s="5"/>
      <c r="R7" s="7">
        <f>ROUND(SUM(R5:R6),5)</f>
        <v>1</v>
      </c>
      <c r="S7" s="5"/>
      <c r="T7" s="8"/>
      <c r="U7" s="5"/>
      <c r="V7" s="8">
        <f>ROUND(SUM(V5:V6),5)</f>
        <v>172</v>
      </c>
      <c r="W7" s="5"/>
      <c r="X7" s="8">
        <f>X6</f>
        <v>172</v>
      </c>
    </row>
    <row r="8" spans="1:24" ht="14.65" outlineLevel="2" x14ac:dyDescent="0.45">
      <c r="A8" s="5"/>
      <c r="B8" s="5" t="s">
        <v>159</v>
      </c>
      <c r="C8" s="5" t="s">
        <v>17</v>
      </c>
      <c r="D8" s="5"/>
      <c r="E8" s="5"/>
      <c r="F8" s="5"/>
      <c r="G8" s="5"/>
      <c r="H8" s="6"/>
      <c r="I8" s="5"/>
      <c r="J8" s="5"/>
      <c r="K8" s="5"/>
      <c r="L8" s="5"/>
      <c r="M8" s="5"/>
      <c r="N8" s="5"/>
      <c r="O8" s="5"/>
      <c r="P8" s="5"/>
      <c r="Q8" s="5"/>
      <c r="R8" s="7"/>
      <c r="S8" s="5"/>
      <c r="T8" s="8"/>
      <c r="U8" s="5"/>
      <c r="V8" s="8"/>
      <c r="W8" s="5"/>
      <c r="X8" s="8"/>
    </row>
    <row r="9" spans="1:24" ht="14.65" outlineLevel="2" x14ac:dyDescent="0.45">
      <c r="A9" s="5"/>
      <c r="B9" s="5"/>
      <c r="C9" s="5"/>
      <c r="D9" s="5"/>
      <c r="E9" s="5"/>
      <c r="F9" s="5" t="s">
        <v>40</v>
      </c>
      <c r="G9" s="5"/>
      <c r="H9" s="6">
        <v>46104</v>
      </c>
      <c r="I9" s="5"/>
      <c r="J9" s="5" t="s">
        <v>43</v>
      </c>
      <c r="K9" s="5"/>
      <c r="L9" s="5" t="s">
        <v>77</v>
      </c>
      <c r="M9" s="5"/>
      <c r="N9" s="5" t="s">
        <v>17</v>
      </c>
      <c r="O9" s="5"/>
      <c r="P9" s="5" t="s">
        <v>117</v>
      </c>
      <c r="Q9" s="5"/>
      <c r="R9" s="7">
        <v>1</v>
      </c>
      <c r="S9" s="5"/>
      <c r="T9" s="8">
        <v>670</v>
      </c>
      <c r="U9" s="5"/>
      <c r="V9" s="8">
        <f>ROUND(IF(ISNUMBER(T9), R9*T9, R9),5)</f>
        <v>670</v>
      </c>
      <c r="W9" s="5"/>
      <c r="X9" s="8">
        <f>ROUND(X8+V9,5)</f>
        <v>670</v>
      </c>
    </row>
    <row r="10" spans="1:24" ht="14.65" outlineLevel="2" x14ac:dyDescent="0.45">
      <c r="A10" s="5"/>
      <c r="B10" s="5"/>
      <c r="C10" s="5"/>
      <c r="D10" s="5"/>
      <c r="E10" s="5"/>
      <c r="F10" s="5" t="s">
        <v>40</v>
      </c>
      <c r="G10" s="5"/>
      <c r="H10" s="6">
        <v>46104</v>
      </c>
      <c r="I10" s="5"/>
      <c r="J10" s="5" t="s">
        <v>43</v>
      </c>
      <c r="K10" s="5"/>
      <c r="L10" s="5" t="s">
        <v>78</v>
      </c>
      <c r="M10" s="5"/>
      <c r="N10" s="5" t="s">
        <v>17</v>
      </c>
      <c r="O10" s="5"/>
      <c r="P10" s="5" t="s">
        <v>118</v>
      </c>
      <c r="Q10" s="5"/>
      <c r="R10" s="7">
        <v>1</v>
      </c>
      <c r="S10" s="5"/>
      <c r="T10" s="8">
        <v>0</v>
      </c>
      <c r="U10" s="5"/>
      <c r="V10" s="8">
        <f>ROUND(IF(ISNUMBER(T10), R10*T10, R10),5)</f>
        <v>0</v>
      </c>
      <c r="W10" s="5"/>
      <c r="X10" s="8">
        <f>ROUND(X9+V10,5)</f>
        <v>670</v>
      </c>
    </row>
    <row r="11" spans="1:24" ht="14.65" outlineLevel="2" x14ac:dyDescent="0.45">
      <c r="A11" s="5"/>
      <c r="B11" s="5"/>
      <c r="C11" s="5"/>
      <c r="D11" s="5"/>
      <c r="E11" s="5"/>
      <c r="F11" s="5" t="s">
        <v>40</v>
      </c>
      <c r="G11" s="5"/>
      <c r="H11" s="6">
        <v>46104</v>
      </c>
      <c r="I11" s="5"/>
      <c r="J11" s="5" t="s">
        <v>43</v>
      </c>
      <c r="K11" s="5"/>
      <c r="L11" s="5" t="s">
        <v>79</v>
      </c>
      <c r="M11" s="5"/>
      <c r="N11" s="5" t="s">
        <v>17</v>
      </c>
      <c r="O11" s="5"/>
      <c r="P11" s="5" t="s">
        <v>119</v>
      </c>
      <c r="Q11" s="5"/>
      <c r="R11" s="7">
        <v>1</v>
      </c>
      <c r="S11" s="5"/>
      <c r="T11" s="8">
        <v>0</v>
      </c>
      <c r="U11" s="5"/>
      <c r="V11" s="8">
        <f>ROUND(IF(ISNUMBER(T11), R11*T11, R11),5)</f>
        <v>0</v>
      </c>
      <c r="W11" s="5"/>
      <c r="X11" s="8">
        <f>ROUND(X10+V11,5)</f>
        <v>670</v>
      </c>
    </row>
    <row r="12" spans="1:24" ht="15" outlineLevel="2" thickBot="1" x14ac:dyDescent="0.5">
      <c r="A12" s="5"/>
      <c r="B12" s="5"/>
      <c r="C12" s="5"/>
      <c r="D12" s="5"/>
      <c r="E12" s="5"/>
      <c r="F12" s="5" t="s">
        <v>40</v>
      </c>
      <c r="G12" s="5"/>
      <c r="H12" s="6">
        <v>46104</v>
      </c>
      <c r="I12" s="5"/>
      <c r="J12" s="5" t="s">
        <v>43</v>
      </c>
      <c r="K12" s="5"/>
      <c r="L12" s="5" t="s">
        <v>80</v>
      </c>
      <c r="M12" s="5"/>
      <c r="N12" s="5" t="s">
        <v>17</v>
      </c>
      <c r="O12" s="5"/>
      <c r="P12" s="5" t="s">
        <v>120</v>
      </c>
      <c r="Q12" s="5"/>
      <c r="R12" s="9">
        <v>1</v>
      </c>
      <c r="S12" s="5"/>
      <c r="T12" s="8">
        <v>0</v>
      </c>
      <c r="U12" s="5"/>
      <c r="V12" s="10">
        <f>ROUND(IF(ISNUMBER(T12), R12*T12, R12),5)</f>
        <v>0</v>
      </c>
      <c r="W12" s="5"/>
      <c r="X12" s="10">
        <f>ROUND(X11+V12,5)</f>
        <v>670</v>
      </c>
    </row>
    <row r="13" spans="1:24" ht="14.65" outlineLevel="1" x14ac:dyDescent="0.45">
      <c r="A13" s="5"/>
      <c r="B13" s="5"/>
      <c r="C13" s="5" t="s">
        <v>18</v>
      </c>
      <c r="D13" s="5"/>
      <c r="E13" s="5"/>
      <c r="F13" s="5"/>
      <c r="G13" s="5"/>
      <c r="H13" s="6"/>
      <c r="I13" s="5"/>
      <c r="J13" s="5"/>
      <c r="K13" s="5"/>
      <c r="L13" s="5"/>
      <c r="M13" s="5"/>
      <c r="N13" s="5"/>
      <c r="O13" s="5"/>
      <c r="P13" s="5"/>
      <c r="Q13" s="5"/>
      <c r="R13" s="7">
        <f>ROUND(SUM(R8:R12),5)</f>
        <v>4</v>
      </c>
      <c r="S13" s="5"/>
      <c r="T13" s="8"/>
      <c r="U13" s="5"/>
      <c r="V13" s="8">
        <f>ROUND(SUM(V8:V12),5)</f>
        <v>670</v>
      </c>
      <c r="W13" s="5"/>
      <c r="X13" s="8">
        <f>X12</f>
        <v>670</v>
      </c>
    </row>
    <row r="14" spans="1:24" ht="14.65" outlineLevel="2" x14ac:dyDescent="0.45">
      <c r="A14" s="5"/>
      <c r="B14" s="5" t="s">
        <v>158</v>
      </c>
      <c r="C14" s="5" t="s">
        <v>19</v>
      </c>
      <c r="D14" s="5"/>
      <c r="E14" s="5"/>
      <c r="F14" s="5"/>
      <c r="G14" s="5"/>
      <c r="H14" s="6"/>
      <c r="I14" s="5"/>
      <c r="J14" s="5"/>
      <c r="K14" s="5"/>
      <c r="L14" s="5"/>
      <c r="M14" s="5"/>
      <c r="N14" s="5"/>
      <c r="O14" s="5"/>
      <c r="P14" s="5"/>
      <c r="Q14" s="5"/>
      <c r="R14" s="7"/>
      <c r="S14" s="5"/>
      <c r="T14" s="8"/>
      <c r="U14" s="5"/>
      <c r="V14" s="8"/>
      <c r="W14" s="5"/>
      <c r="X14" s="8"/>
    </row>
    <row r="15" spans="1:24" ht="15" outlineLevel="2" thickBot="1" x14ac:dyDescent="0.5">
      <c r="A15" s="1"/>
      <c r="B15" s="1"/>
      <c r="C15" s="1"/>
      <c r="D15" s="5"/>
      <c r="E15" s="5"/>
      <c r="F15" s="5" t="s">
        <v>41</v>
      </c>
      <c r="G15" s="5"/>
      <c r="H15" s="6">
        <v>46155</v>
      </c>
      <c r="I15" s="5"/>
      <c r="J15" s="5" t="s">
        <v>44</v>
      </c>
      <c r="K15" s="5"/>
      <c r="L15" s="5"/>
      <c r="M15" s="5"/>
      <c r="N15" s="5" t="s">
        <v>19</v>
      </c>
      <c r="O15" s="5"/>
      <c r="P15" s="5" t="s">
        <v>121</v>
      </c>
      <c r="Q15" s="5"/>
      <c r="R15" s="9">
        <v>-1</v>
      </c>
      <c r="S15" s="5"/>
      <c r="T15" s="7">
        <v>240</v>
      </c>
      <c r="U15" s="5"/>
      <c r="V15" s="10">
        <f>ROUND(IF(ISNUMBER(T15), R15*T15, R15),5)</f>
        <v>-240</v>
      </c>
      <c r="W15" s="5"/>
      <c r="X15" s="10">
        <f>ROUND(X14+V15,5)</f>
        <v>-240</v>
      </c>
    </row>
    <row r="16" spans="1:24" ht="14.65" outlineLevel="1" x14ac:dyDescent="0.45">
      <c r="A16" s="5"/>
      <c r="B16" s="5"/>
      <c r="C16" s="5" t="s">
        <v>20</v>
      </c>
      <c r="D16" s="5"/>
      <c r="E16" s="5"/>
      <c r="F16" s="5"/>
      <c r="G16" s="5"/>
      <c r="H16" s="6"/>
      <c r="I16" s="5"/>
      <c r="J16" s="5"/>
      <c r="K16" s="5"/>
      <c r="L16" s="5"/>
      <c r="M16" s="5"/>
      <c r="N16" s="5"/>
      <c r="O16" s="5"/>
      <c r="P16" s="5"/>
      <c r="Q16" s="5"/>
      <c r="R16" s="7">
        <f>ROUND(SUM(R14:R15),5)</f>
        <v>-1</v>
      </c>
      <c r="S16" s="5"/>
      <c r="T16" s="8"/>
      <c r="U16" s="5"/>
      <c r="V16" s="8">
        <f>ROUND(SUM(V14:V15),5)</f>
        <v>-240</v>
      </c>
      <c r="W16" s="5"/>
      <c r="X16" s="8">
        <f>X15</f>
        <v>-240</v>
      </c>
    </row>
    <row r="17" spans="1:24" ht="14.65" outlineLevel="2" x14ac:dyDescent="0.45">
      <c r="A17" s="5"/>
      <c r="B17" s="5" t="s">
        <v>159</v>
      </c>
      <c r="C17" s="5" t="s">
        <v>21</v>
      </c>
      <c r="D17" s="5"/>
      <c r="E17" s="5"/>
      <c r="F17" s="5"/>
      <c r="G17" s="5"/>
      <c r="H17" s="6"/>
      <c r="I17" s="5"/>
      <c r="J17" s="5"/>
      <c r="K17" s="5"/>
      <c r="L17" s="5"/>
      <c r="M17" s="5"/>
      <c r="N17" s="5"/>
      <c r="O17" s="5"/>
      <c r="P17" s="5"/>
      <c r="Q17" s="5"/>
      <c r="R17" s="7"/>
      <c r="S17" s="5"/>
      <c r="T17" s="8"/>
      <c r="U17" s="5"/>
      <c r="V17" s="8"/>
      <c r="W17" s="5"/>
      <c r="X17" s="8"/>
    </row>
    <row r="18" spans="1:24" ht="14.65" outlineLevel="2" x14ac:dyDescent="0.45">
      <c r="A18" s="5"/>
      <c r="B18" s="5"/>
      <c r="C18" s="5"/>
      <c r="D18" s="5"/>
      <c r="E18" s="5"/>
      <c r="F18" s="5" t="s">
        <v>40</v>
      </c>
      <c r="G18" s="5"/>
      <c r="H18" s="6">
        <v>46024</v>
      </c>
      <c r="I18" s="5"/>
      <c r="J18" s="5" t="s">
        <v>45</v>
      </c>
      <c r="K18" s="5"/>
      <c r="L18" s="5" t="s">
        <v>81</v>
      </c>
      <c r="M18" s="5"/>
      <c r="N18" s="5" t="s">
        <v>21</v>
      </c>
      <c r="O18" s="5"/>
      <c r="P18" s="5" t="s">
        <v>122</v>
      </c>
      <c r="Q18" s="5"/>
      <c r="R18" s="7">
        <v>2</v>
      </c>
      <c r="S18" s="5"/>
      <c r="T18" s="8">
        <v>3399</v>
      </c>
      <c r="U18" s="5"/>
      <c r="V18" s="8">
        <f t="shared" ref="V18:V55" si="0">ROUND(IF(ISNUMBER(T18), R18*T18, R18),5)</f>
        <v>6798</v>
      </c>
      <c r="W18" s="5"/>
      <c r="X18" s="8">
        <f t="shared" ref="X18:X55" si="1">ROUND(X17+V18,5)</f>
        <v>6798</v>
      </c>
    </row>
    <row r="19" spans="1:24" ht="14.65" outlineLevel="2" x14ac:dyDescent="0.45">
      <c r="A19" s="5"/>
      <c r="B19" s="5"/>
      <c r="C19" s="5"/>
      <c r="D19" s="5"/>
      <c r="E19" s="5"/>
      <c r="F19" s="5" t="s">
        <v>40</v>
      </c>
      <c r="G19" s="5"/>
      <c r="H19" s="6">
        <v>46024</v>
      </c>
      <c r="I19" s="5"/>
      <c r="J19" s="5" t="s">
        <v>45</v>
      </c>
      <c r="K19" s="5"/>
      <c r="L19" s="5" t="s">
        <v>80</v>
      </c>
      <c r="M19" s="5"/>
      <c r="N19" s="5" t="s">
        <v>21</v>
      </c>
      <c r="O19" s="5"/>
      <c r="P19" s="5" t="s">
        <v>120</v>
      </c>
      <c r="Q19" s="5"/>
      <c r="R19" s="7">
        <v>2</v>
      </c>
      <c r="S19" s="5"/>
      <c r="T19" s="8">
        <v>0</v>
      </c>
      <c r="U19" s="5"/>
      <c r="V19" s="8">
        <f t="shared" si="0"/>
        <v>0</v>
      </c>
      <c r="W19" s="5"/>
      <c r="X19" s="8">
        <f t="shared" si="1"/>
        <v>6798</v>
      </c>
    </row>
    <row r="20" spans="1:24" ht="14.65" outlineLevel="2" x14ac:dyDescent="0.45">
      <c r="A20" s="5"/>
      <c r="B20" s="5"/>
      <c r="C20" s="5"/>
      <c r="D20" s="5"/>
      <c r="E20" s="5"/>
      <c r="F20" s="5" t="s">
        <v>40</v>
      </c>
      <c r="G20" s="5"/>
      <c r="H20" s="6">
        <v>46048</v>
      </c>
      <c r="I20" s="5"/>
      <c r="J20" s="5" t="s">
        <v>46</v>
      </c>
      <c r="K20" s="5"/>
      <c r="L20" s="5" t="s">
        <v>82</v>
      </c>
      <c r="M20" s="5"/>
      <c r="N20" s="5" t="s">
        <v>21</v>
      </c>
      <c r="O20" s="5"/>
      <c r="P20" s="5" t="s">
        <v>123</v>
      </c>
      <c r="Q20" s="5"/>
      <c r="R20" s="7">
        <v>1</v>
      </c>
      <c r="S20" s="5"/>
      <c r="T20" s="8">
        <v>2050</v>
      </c>
      <c r="U20" s="5"/>
      <c r="V20" s="8">
        <f t="shared" si="0"/>
        <v>2050</v>
      </c>
      <c r="W20" s="5"/>
      <c r="X20" s="8">
        <f t="shared" si="1"/>
        <v>8848</v>
      </c>
    </row>
    <row r="21" spans="1:24" ht="14.65" outlineLevel="2" x14ac:dyDescent="0.45">
      <c r="A21" s="5"/>
      <c r="B21" s="5"/>
      <c r="C21" s="5"/>
      <c r="D21" s="5"/>
      <c r="E21" s="5"/>
      <c r="F21" s="5" t="s">
        <v>40</v>
      </c>
      <c r="G21" s="5"/>
      <c r="H21" s="6">
        <v>46048</v>
      </c>
      <c r="I21" s="5"/>
      <c r="J21" s="5" t="s">
        <v>46</v>
      </c>
      <c r="K21" s="5"/>
      <c r="L21" s="5" t="s">
        <v>80</v>
      </c>
      <c r="M21" s="5"/>
      <c r="N21" s="5" t="s">
        <v>21</v>
      </c>
      <c r="O21" s="5"/>
      <c r="P21" s="5" t="s">
        <v>120</v>
      </c>
      <c r="Q21" s="5"/>
      <c r="R21" s="7">
        <v>1</v>
      </c>
      <c r="S21" s="5"/>
      <c r="T21" s="8">
        <v>0</v>
      </c>
      <c r="U21" s="5"/>
      <c r="V21" s="8">
        <f t="shared" si="0"/>
        <v>0</v>
      </c>
      <c r="W21" s="5"/>
      <c r="X21" s="8">
        <f t="shared" si="1"/>
        <v>8848</v>
      </c>
    </row>
    <row r="22" spans="1:24" ht="14.65" outlineLevel="2" x14ac:dyDescent="0.45">
      <c r="A22" s="5"/>
      <c r="B22" s="5"/>
      <c r="C22" s="5"/>
      <c r="D22" s="5"/>
      <c r="E22" s="5"/>
      <c r="F22" s="5" t="s">
        <v>40</v>
      </c>
      <c r="G22" s="5"/>
      <c r="H22" s="6">
        <v>46083</v>
      </c>
      <c r="I22" s="5"/>
      <c r="J22" s="5" t="s">
        <v>47</v>
      </c>
      <c r="K22" s="5"/>
      <c r="L22" s="5" t="s">
        <v>83</v>
      </c>
      <c r="M22" s="5"/>
      <c r="N22" s="5" t="s">
        <v>21</v>
      </c>
      <c r="O22" s="5"/>
      <c r="P22" s="5" t="s">
        <v>124</v>
      </c>
      <c r="Q22" s="5"/>
      <c r="R22" s="7">
        <v>2</v>
      </c>
      <c r="S22" s="5"/>
      <c r="T22" s="8">
        <v>837</v>
      </c>
      <c r="U22" s="5"/>
      <c r="V22" s="8">
        <f t="shared" si="0"/>
        <v>1674</v>
      </c>
      <c r="W22" s="5"/>
      <c r="X22" s="8">
        <f t="shared" si="1"/>
        <v>10522</v>
      </c>
    </row>
    <row r="23" spans="1:24" ht="14.65" outlineLevel="2" x14ac:dyDescent="0.45">
      <c r="A23" s="5"/>
      <c r="B23" s="5"/>
      <c r="C23" s="5"/>
      <c r="D23" s="5"/>
      <c r="E23" s="5"/>
      <c r="F23" s="5" t="s">
        <v>40</v>
      </c>
      <c r="G23" s="5"/>
      <c r="H23" s="6">
        <v>46083</v>
      </c>
      <c r="I23" s="5"/>
      <c r="J23" s="5" t="s">
        <v>47</v>
      </c>
      <c r="K23" s="5"/>
      <c r="L23" s="5" t="s">
        <v>80</v>
      </c>
      <c r="M23" s="5"/>
      <c r="N23" s="5" t="s">
        <v>21</v>
      </c>
      <c r="O23" s="5"/>
      <c r="P23" s="5" t="s">
        <v>120</v>
      </c>
      <c r="Q23" s="5"/>
      <c r="R23" s="7">
        <v>2</v>
      </c>
      <c r="S23" s="5"/>
      <c r="T23" s="8">
        <v>0</v>
      </c>
      <c r="U23" s="5"/>
      <c r="V23" s="8">
        <f t="shared" si="0"/>
        <v>0</v>
      </c>
      <c r="W23" s="5"/>
      <c r="X23" s="8">
        <f t="shared" si="1"/>
        <v>10522</v>
      </c>
    </row>
    <row r="24" spans="1:24" ht="14.65" outlineLevel="2" x14ac:dyDescent="0.45">
      <c r="A24" s="5"/>
      <c r="B24" s="5"/>
      <c r="C24" s="5"/>
      <c r="D24" s="5"/>
      <c r="E24" s="5"/>
      <c r="F24" s="5" t="s">
        <v>40</v>
      </c>
      <c r="G24" s="5"/>
      <c r="H24" s="6">
        <v>46083</v>
      </c>
      <c r="I24" s="5"/>
      <c r="J24" s="5" t="s">
        <v>47</v>
      </c>
      <c r="K24" s="5"/>
      <c r="L24" s="5" t="s">
        <v>79</v>
      </c>
      <c r="M24" s="5"/>
      <c r="N24" s="5" t="s">
        <v>21</v>
      </c>
      <c r="O24" s="5"/>
      <c r="P24" s="5" t="s">
        <v>119</v>
      </c>
      <c r="Q24" s="5"/>
      <c r="R24" s="7">
        <v>2</v>
      </c>
      <c r="S24" s="5"/>
      <c r="T24" s="8">
        <v>0</v>
      </c>
      <c r="U24" s="5"/>
      <c r="V24" s="8">
        <f t="shared" si="0"/>
        <v>0</v>
      </c>
      <c r="W24" s="5"/>
      <c r="X24" s="8">
        <f t="shared" si="1"/>
        <v>10522</v>
      </c>
    </row>
    <row r="25" spans="1:24" ht="14.65" outlineLevel="2" x14ac:dyDescent="0.45">
      <c r="A25" s="5"/>
      <c r="B25" s="5"/>
      <c r="C25" s="5"/>
      <c r="D25" s="5"/>
      <c r="E25" s="5"/>
      <c r="F25" s="5" t="s">
        <v>40</v>
      </c>
      <c r="G25" s="5"/>
      <c r="H25" s="6">
        <v>46085</v>
      </c>
      <c r="I25" s="5"/>
      <c r="J25" s="5" t="s">
        <v>48</v>
      </c>
      <c r="K25" s="5"/>
      <c r="L25" s="5" t="s">
        <v>84</v>
      </c>
      <c r="M25" s="5"/>
      <c r="N25" s="5" t="s">
        <v>21</v>
      </c>
      <c r="O25" s="5"/>
      <c r="P25" s="5" t="s">
        <v>125</v>
      </c>
      <c r="Q25" s="5"/>
      <c r="R25" s="7">
        <v>2</v>
      </c>
      <c r="S25" s="5"/>
      <c r="T25" s="8">
        <v>780</v>
      </c>
      <c r="U25" s="5"/>
      <c r="V25" s="8">
        <f t="shared" si="0"/>
        <v>1560</v>
      </c>
      <c r="W25" s="5"/>
      <c r="X25" s="8">
        <f t="shared" si="1"/>
        <v>12082</v>
      </c>
    </row>
    <row r="26" spans="1:24" ht="14.65" outlineLevel="2" x14ac:dyDescent="0.45">
      <c r="A26" s="5"/>
      <c r="B26" s="5"/>
      <c r="C26" s="5"/>
      <c r="D26" s="5"/>
      <c r="E26" s="5"/>
      <c r="F26" s="5" t="s">
        <v>40</v>
      </c>
      <c r="G26" s="5"/>
      <c r="H26" s="6">
        <v>46085</v>
      </c>
      <c r="I26" s="5"/>
      <c r="J26" s="5" t="s">
        <v>48</v>
      </c>
      <c r="K26" s="5"/>
      <c r="L26" s="5" t="s">
        <v>80</v>
      </c>
      <c r="M26" s="5"/>
      <c r="N26" s="5" t="s">
        <v>21</v>
      </c>
      <c r="O26" s="5"/>
      <c r="P26" s="5" t="s">
        <v>120</v>
      </c>
      <c r="Q26" s="5"/>
      <c r="R26" s="7">
        <v>2</v>
      </c>
      <c r="S26" s="5"/>
      <c r="T26" s="8">
        <v>0</v>
      </c>
      <c r="U26" s="5"/>
      <c r="V26" s="8">
        <f t="shared" si="0"/>
        <v>0</v>
      </c>
      <c r="W26" s="5"/>
      <c r="X26" s="8">
        <f t="shared" si="1"/>
        <v>12082</v>
      </c>
    </row>
    <row r="27" spans="1:24" ht="14.65" outlineLevel="2" x14ac:dyDescent="0.45">
      <c r="A27" s="5"/>
      <c r="B27" s="5"/>
      <c r="C27" s="5"/>
      <c r="D27" s="5"/>
      <c r="E27" s="5"/>
      <c r="F27" s="5" t="s">
        <v>40</v>
      </c>
      <c r="G27" s="5"/>
      <c r="H27" s="6">
        <v>46087</v>
      </c>
      <c r="I27" s="5"/>
      <c r="J27" s="5" t="s">
        <v>49</v>
      </c>
      <c r="K27" s="5"/>
      <c r="L27" s="5" t="s">
        <v>84</v>
      </c>
      <c r="M27" s="5"/>
      <c r="N27" s="5" t="s">
        <v>21</v>
      </c>
      <c r="O27" s="5"/>
      <c r="P27" s="5" t="s">
        <v>125</v>
      </c>
      <c r="Q27" s="5"/>
      <c r="R27" s="7">
        <v>1</v>
      </c>
      <c r="S27" s="5"/>
      <c r="T27" s="8">
        <v>780</v>
      </c>
      <c r="U27" s="5"/>
      <c r="V27" s="8">
        <f t="shared" si="0"/>
        <v>780</v>
      </c>
      <c r="W27" s="5"/>
      <c r="X27" s="8">
        <f t="shared" si="1"/>
        <v>12862</v>
      </c>
    </row>
    <row r="28" spans="1:24" ht="14.65" outlineLevel="2" x14ac:dyDescent="0.45">
      <c r="A28" s="5"/>
      <c r="B28" s="5"/>
      <c r="C28" s="5"/>
      <c r="D28" s="5"/>
      <c r="E28" s="5"/>
      <c r="F28" s="5" t="s">
        <v>40</v>
      </c>
      <c r="G28" s="5"/>
      <c r="H28" s="6">
        <v>46087</v>
      </c>
      <c r="I28" s="5"/>
      <c r="J28" s="5" t="s">
        <v>49</v>
      </c>
      <c r="K28" s="5"/>
      <c r="L28" s="5" t="s">
        <v>80</v>
      </c>
      <c r="M28" s="5"/>
      <c r="N28" s="5" t="s">
        <v>21</v>
      </c>
      <c r="O28" s="5"/>
      <c r="P28" s="5" t="s">
        <v>120</v>
      </c>
      <c r="Q28" s="5"/>
      <c r="R28" s="7">
        <v>1</v>
      </c>
      <c r="S28" s="5"/>
      <c r="T28" s="8">
        <v>0</v>
      </c>
      <c r="U28" s="5"/>
      <c r="V28" s="8">
        <f t="shared" si="0"/>
        <v>0</v>
      </c>
      <c r="W28" s="5"/>
      <c r="X28" s="8">
        <f t="shared" si="1"/>
        <v>12862</v>
      </c>
    </row>
    <row r="29" spans="1:24" ht="14.65" outlineLevel="2" x14ac:dyDescent="0.45">
      <c r="A29" s="5"/>
      <c r="B29" s="5"/>
      <c r="C29" s="5"/>
      <c r="D29" s="5"/>
      <c r="E29" s="5"/>
      <c r="F29" s="5" t="s">
        <v>40</v>
      </c>
      <c r="G29" s="5"/>
      <c r="H29" s="6">
        <v>46087</v>
      </c>
      <c r="I29" s="5"/>
      <c r="J29" s="5" t="s">
        <v>50</v>
      </c>
      <c r="K29" s="5"/>
      <c r="L29" s="5" t="s">
        <v>84</v>
      </c>
      <c r="M29" s="5"/>
      <c r="N29" s="5" t="s">
        <v>21</v>
      </c>
      <c r="O29" s="5"/>
      <c r="P29" s="5" t="s">
        <v>125</v>
      </c>
      <c r="Q29" s="5"/>
      <c r="R29" s="7">
        <v>1</v>
      </c>
      <c r="S29" s="5"/>
      <c r="T29" s="8">
        <v>780</v>
      </c>
      <c r="U29" s="5"/>
      <c r="V29" s="8">
        <f t="shared" si="0"/>
        <v>780</v>
      </c>
      <c r="W29" s="5"/>
      <c r="X29" s="8">
        <f t="shared" si="1"/>
        <v>13642</v>
      </c>
    </row>
    <row r="30" spans="1:24" ht="14.65" outlineLevel="2" x14ac:dyDescent="0.45">
      <c r="A30" s="5"/>
      <c r="B30" s="5"/>
      <c r="C30" s="5"/>
      <c r="D30" s="5"/>
      <c r="E30" s="5"/>
      <c r="F30" s="5" t="s">
        <v>40</v>
      </c>
      <c r="G30" s="5"/>
      <c r="H30" s="6">
        <v>46087</v>
      </c>
      <c r="I30" s="5"/>
      <c r="J30" s="5" t="s">
        <v>50</v>
      </c>
      <c r="K30" s="5"/>
      <c r="L30" s="5" t="s">
        <v>80</v>
      </c>
      <c r="M30" s="5"/>
      <c r="N30" s="5" t="s">
        <v>21</v>
      </c>
      <c r="O30" s="5"/>
      <c r="P30" s="5" t="s">
        <v>120</v>
      </c>
      <c r="Q30" s="5"/>
      <c r="R30" s="7">
        <v>1</v>
      </c>
      <c r="S30" s="5"/>
      <c r="T30" s="8">
        <v>0</v>
      </c>
      <c r="U30" s="5"/>
      <c r="V30" s="8">
        <f t="shared" si="0"/>
        <v>0</v>
      </c>
      <c r="W30" s="5"/>
      <c r="X30" s="8">
        <f t="shared" si="1"/>
        <v>13642</v>
      </c>
    </row>
    <row r="31" spans="1:24" ht="14.65" outlineLevel="2" x14ac:dyDescent="0.45">
      <c r="A31" s="5"/>
      <c r="B31" s="5"/>
      <c r="C31" s="5"/>
      <c r="D31" s="5"/>
      <c r="E31" s="5"/>
      <c r="F31" s="5" t="s">
        <v>40</v>
      </c>
      <c r="G31" s="5"/>
      <c r="H31" s="6">
        <v>46094</v>
      </c>
      <c r="I31" s="5"/>
      <c r="J31" s="5" t="s">
        <v>51</v>
      </c>
      <c r="K31" s="5"/>
      <c r="L31" s="5" t="s">
        <v>83</v>
      </c>
      <c r="M31" s="5"/>
      <c r="N31" s="5" t="s">
        <v>21</v>
      </c>
      <c r="O31" s="5"/>
      <c r="P31" s="5" t="s">
        <v>124</v>
      </c>
      <c r="Q31" s="5"/>
      <c r="R31" s="7">
        <v>1</v>
      </c>
      <c r="S31" s="5"/>
      <c r="T31" s="8">
        <v>837</v>
      </c>
      <c r="U31" s="5"/>
      <c r="V31" s="8">
        <f t="shared" si="0"/>
        <v>837</v>
      </c>
      <c r="W31" s="5"/>
      <c r="X31" s="8">
        <f t="shared" si="1"/>
        <v>14479</v>
      </c>
    </row>
    <row r="32" spans="1:24" ht="14.65" outlineLevel="2" x14ac:dyDescent="0.45">
      <c r="A32" s="5"/>
      <c r="B32" s="5"/>
      <c r="C32" s="5"/>
      <c r="D32" s="5"/>
      <c r="E32" s="5"/>
      <c r="F32" s="5" t="s">
        <v>40</v>
      </c>
      <c r="G32" s="5"/>
      <c r="H32" s="6">
        <v>46094</v>
      </c>
      <c r="I32" s="5"/>
      <c r="J32" s="5" t="s">
        <v>51</v>
      </c>
      <c r="K32" s="5"/>
      <c r="L32" s="5" t="s">
        <v>85</v>
      </c>
      <c r="M32" s="5"/>
      <c r="N32" s="5" t="s">
        <v>21</v>
      </c>
      <c r="O32" s="5"/>
      <c r="P32" s="5" t="s">
        <v>126</v>
      </c>
      <c r="Q32" s="5"/>
      <c r="R32" s="7">
        <v>1</v>
      </c>
      <c r="S32" s="5"/>
      <c r="T32" s="8">
        <v>0</v>
      </c>
      <c r="U32" s="5"/>
      <c r="V32" s="8">
        <f t="shared" si="0"/>
        <v>0</v>
      </c>
      <c r="W32" s="5"/>
      <c r="X32" s="8">
        <f t="shared" si="1"/>
        <v>14479</v>
      </c>
    </row>
    <row r="33" spans="1:24" ht="14.65" outlineLevel="2" x14ac:dyDescent="0.45">
      <c r="A33" s="5"/>
      <c r="B33" s="5"/>
      <c r="C33" s="5"/>
      <c r="D33" s="5"/>
      <c r="E33" s="5"/>
      <c r="F33" s="5" t="s">
        <v>40</v>
      </c>
      <c r="G33" s="5"/>
      <c r="H33" s="6">
        <v>46094</v>
      </c>
      <c r="I33" s="5"/>
      <c r="J33" s="5" t="s">
        <v>51</v>
      </c>
      <c r="K33" s="5"/>
      <c r="L33" s="5" t="s">
        <v>80</v>
      </c>
      <c r="M33" s="5"/>
      <c r="N33" s="5" t="s">
        <v>21</v>
      </c>
      <c r="O33" s="5"/>
      <c r="P33" s="5" t="s">
        <v>120</v>
      </c>
      <c r="Q33" s="5"/>
      <c r="R33" s="7">
        <v>1</v>
      </c>
      <c r="S33" s="5"/>
      <c r="T33" s="8">
        <v>0</v>
      </c>
      <c r="U33" s="5"/>
      <c r="V33" s="8">
        <f t="shared" si="0"/>
        <v>0</v>
      </c>
      <c r="W33" s="5"/>
      <c r="X33" s="8">
        <f t="shared" si="1"/>
        <v>14479</v>
      </c>
    </row>
    <row r="34" spans="1:24" ht="14.65" outlineLevel="2" x14ac:dyDescent="0.45">
      <c r="A34" s="5"/>
      <c r="B34" s="5"/>
      <c r="C34" s="5"/>
      <c r="D34" s="5"/>
      <c r="E34" s="5"/>
      <c r="F34" s="5" t="s">
        <v>40</v>
      </c>
      <c r="G34" s="5"/>
      <c r="H34" s="6">
        <v>46094</v>
      </c>
      <c r="I34" s="5"/>
      <c r="J34" s="5" t="s">
        <v>52</v>
      </c>
      <c r="K34" s="5"/>
      <c r="L34" s="5" t="s">
        <v>86</v>
      </c>
      <c r="M34" s="5"/>
      <c r="N34" s="5" t="s">
        <v>21</v>
      </c>
      <c r="O34" s="5"/>
      <c r="P34" s="5" t="s">
        <v>127</v>
      </c>
      <c r="Q34" s="5"/>
      <c r="R34" s="7">
        <v>1</v>
      </c>
      <c r="S34" s="5"/>
      <c r="T34" s="8">
        <v>4670</v>
      </c>
      <c r="U34" s="5"/>
      <c r="V34" s="8">
        <f t="shared" si="0"/>
        <v>4670</v>
      </c>
      <c r="W34" s="5"/>
      <c r="X34" s="8">
        <f t="shared" si="1"/>
        <v>19149</v>
      </c>
    </row>
    <row r="35" spans="1:24" ht="14.65" outlineLevel="2" x14ac:dyDescent="0.45">
      <c r="A35" s="5"/>
      <c r="B35" s="5"/>
      <c r="C35" s="5"/>
      <c r="D35" s="5"/>
      <c r="E35" s="5"/>
      <c r="F35" s="5" t="s">
        <v>40</v>
      </c>
      <c r="G35" s="5"/>
      <c r="H35" s="6">
        <v>46094</v>
      </c>
      <c r="I35" s="5"/>
      <c r="J35" s="5" t="s">
        <v>52</v>
      </c>
      <c r="K35" s="5"/>
      <c r="L35" s="5" t="s">
        <v>80</v>
      </c>
      <c r="M35" s="5"/>
      <c r="N35" s="5" t="s">
        <v>21</v>
      </c>
      <c r="O35" s="5"/>
      <c r="P35" s="5" t="s">
        <v>120</v>
      </c>
      <c r="Q35" s="5"/>
      <c r="R35" s="7">
        <v>1</v>
      </c>
      <c r="S35" s="5"/>
      <c r="T35" s="8">
        <v>0</v>
      </c>
      <c r="U35" s="5"/>
      <c r="V35" s="8">
        <f t="shared" si="0"/>
        <v>0</v>
      </c>
      <c r="W35" s="5"/>
      <c r="X35" s="8">
        <f t="shared" si="1"/>
        <v>19149</v>
      </c>
    </row>
    <row r="36" spans="1:24" ht="14.65" outlineLevel="2" x14ac:dyDescent="0.45">
      <c r="A36" s="5"/>
      <c r="B36" s="5"/>
      <c r="C36" s="5"/>
      <c r="D36" s="5"/>
      <c r="E36" s="5"/>
      <c r="F36" s="5" t="s">
        <v>40</v>
      </c>
      <c r="G36" s="5"/>
      <c r="H36" s="6">
        <v>46097</v>
      </c>
      <c r="I36" s="5"/>
      <c r="J36" s="5" t="s">
        <v>53</v>
      </c>
      <c r="K36" s="5"/>
      <c r="L36" s="5" t="s">
        <v>87</v>
      </c>
      <c r="M36" s="5"/>
      <c r="N36" s="5" t="s">
        <v>21</v>
      </c>
      <c r="O36" s="5"/>
      <c r="P36" s="5" t="s">
        <v>128</v>
      </c>
      <c r="Q36" s="5"/>
      <c r="R36" s="7">
        <v>1</v>
      </c>
      <c r="S36" s="5"/>
      <c r="T36" s="8">
        <v>755</v>
      </c>
      <c r="U36" s="5"/>
      <c r="V36" s="8">
        <f t="shared" si="0"/>
        <v>755</v>
      </c>
      <c r="W36" s="5"/>
      <c r="X36" s="8">
        <f t="shared" si="1"/>
        <v>19904</v>
      </c>
    </row>
    <row r="37" spans="1:24" ht="14.65" outlineLevel="2" x14ac:dyDescent="0.45">
      <c r="A37" s="5"/>
      <c r="B37" s="5"/>
      <c r="C37" s="5"/>
      <c r="D37" s="5"/>
      <c r="E37" s="5"/>
      <c r="F37" s="5" t="s">
        <v>40</v>
      </c>
      <c r="G37" s="5"/>
      <c r="H37" s="6">
        <v>46097</v>
      </c>
      <c r="I37" s="5"/>
      <c r="J37" s="5" t="s">
        <v>53</v>
      </c>
      <c r="K37" s="5"/>
      <c r="L37" s="5" t="s">
        <v>78</v>
      </c>
      <c r="M37" s="5"/>
      <c r="N37" s="5" t="s">
        <v>21</v>
      </c>
      <c r="O37" s="5"/>
      <c r="P37" s="5" t="s">
        <v>118</v>
      </c>
      <c r="Q37" s="5"/>
      <c r="R37" s="7">
        <v>1</v>
      </c>
      <c r="S37" s="5"/>
      <c r="T37" s="8">
        <v>0</v>
      </c>
      <c r="U37" s="5"/>
      <c r="V37" s="8">
        <f t="shared" si="0"/>
        <v>0</v>
      </c>
      <c r="W37" s="5"/>
      <c r="X37" s="8">
        <f t="shared" si="1"/>
        <v>19904</v>
      </c>
    </row>
    <row r="38" spans="1:24" ht="14.65" outlineLevel="2" x14ac:dyDescent="0.45">
      <c r="A38" s="5"/>
      <c r="B38" s="5"/>
      <c r="C38" s="5"/>
      <c r="D38" s="5"/>
      <c r="E38" s="5"/>
      <c r="F38" s="5" t="s">
        <v>40</v>
      </c>
      <c r="G38" s="5"/>
      <c r="H38" s="6">
        <v>46097</v>
      </c>
      <c r="I38" s="5"/>
      <c r="J38" s="5" t="s">
        <v>53</v>
      </c>
      <c r="K38" s="5"/>
      <c r="L38" s="5" t="s">
        <v>85</v>
      </c>
      <c r="M38" s="5"/>
      <c r="N38" s="5" t="s">
        <v>21</v>
      </c>
      <c r="O38" s="5"/>
      <c r="P38" s="5" t="s">
        <v>126</v>
      </c>
      <c r="Q38" s="5"/>
      <c r="R38" s="7">
        <v>1</v>
      </c>
      <c r="S38" s="5"/>
      <c r="T38" s="8">
        <v>0</v>
      </c>
      <c r="U38" s="5"/>
      <c r="V38" s="8">
        <f t="shared" si="0"/>
        <v>0</v>
      </c>
      <c r="W38" s="5"/>
      <c r="X38" s="8">
        <f t="shared" si="1"/>
        <v>19904</v>
      </c>
    </row>
    <row r="39" spans="1:24" ht="14.65" outlineLevel="2" x14ac:dyDescent="0.45">
      <c r="A39" s="5"/>
      <c r="B39" s="5"/>
      <c r="C39" s="5"/>
      <c r="D39" s="5"/>
      <c r="E39" s="5"/>
      <c r="F39" s="5" t="s">
        <v>40</v>
      </c>
      <c r="G39" s="5"/>
      <c r="H39" s="6">
        <v>46097</v>
      </c>
      <c r="I39" s="5"/>
      <c r="J39" s="5" t="s">
        <v>53</v>
      </c>
      <c r="K39" s="5"/>
      <c r="L39" s="5" t="s">
        <v>80</v>
      </c>
      <c r="M39" s="5"/>
      <c r="N39" s="5" t="s">
        <v>21</v>
      </c>
      <c r="O39" s="5"/>
      <c r="P39" s="5" t="s">
        <v>120</v>
      </c>
      <c r="Q39" s="5"/>
      <c r="R39" s="7">
        <v>1</v>
      </c>
      <c r="S39" s="5"/>
      <c r="T39" s="8">
        <v>0</v>
      </c>
      <c r="U39" s="5"/>
      <c r="V39" s="8">
        <f t="shared" si="0"/>
        <v>0</v>
      </c>
      <c r="W39" s="5"/>
      <c r="X39" s="8">
        <f t="shared" si="1"/>
        <v>19904</v>
      </c>
    </row>
    <row r="40" spans="1:24" ht="14.65" outlineLevel="2" x14ac:dyDescent="0.45">
      <c r="A40" s="5"/>
      <c r="B40" s="5"/>
      <c r="C40" s="5"/>
      <c r="D40" s="5"/>
      <c r="E40" s="5"/>
      <c r="F40" s="5" t="s">
        <v>40</v>
      </c>
      <c r="G40" s="5"/>
      <c r="H40" s="6">
        <v>46099</v>
      </c>
      <c r="I40" s="5"/>
      <c r="J40" s="5" t="s">
        <v>54</v>
      </c>
      <c r="K40" s="5"/>
      <c r="L40" s="5" t="s">
        <v>87</v>
      </c>
      <c r="M40" s="5"/>
      <c r="N40" s="5" t="s">
        <v>21</v>
      </c>
      <c r="O40" s="5"/>
      <c r="P40" s="5" t="s">
        <v>128</v>
      </c>
      <c r="Q40" s="5"/>
      <c r="R40" s="7">
        <v>1</v>
      </c>
      <c r="S40" s="5"/>
      <c r="T40" s="8">
        <v>755</v>
      </c>
      <c r="U40" s="5"/>
      <c r="V40" s="8">
        <f t="shared" si="0"/>
        <v>755</v>
      </c>
      <c r="W40" s="5"/>
      <c r="X40" s="8">
        <f t="shared" si="1"/>
        <v>20659</v>
      </c>
    </row>
    <row r="41" spans="1:24" ht="14.65" outlineLevel="2" x14ac:dyDescent="0.45">
      <c r="A41" s="5"/>
      <c r="B41" s="5"/>
      <c r="C41" s="5"/>
      <c r="D41" s="5"/>
      <c r="E41" s="5"/>
      <c r="F41" s="5" t="s">
        <v>40</v>
      </c>
      <c r="G41" s="5"/>
      <c r="H41" s="6">
        <v>46099</v>
      </c>
      <c r="I41" s="5"/>
      <c r="J41" s="5" t="s">
        <v>54</v>
      </c>
      <c r="K41" s="5"/>
      <c r="L41" s="5" t="s">
        <v>78</v>
      </c>
      <c r="M41" s="5"/>
      <c r="N41" s="5" t="s">
        <v>21</v>
      </c>
      <c r="O41" s="5"/>
      <c r="P41" s="5" t="s">
        <v>118</v>
      </c>
      <c r="Q41" s="5"/>
      <c r="R41" s="7">
        <v>1</v>
      </c>
      <c r="S41" s="5"/>
      <c r="T41" s="8">
        <v>0</v>
      </c>
      <c r="U41" s="5"/>
      <c r="V41" s="8">
        <f t="shared" si="0"/>
        <v>0</v>
      </c>
      <c r="W41" s="5"/>
      <c r="X41" s="8">
        <f t="shared" si="1"/>
        <v>20659</v>
      </c>
    </row>
    <row r="42" spans="1:24" ht="14.65" outlineLevel="2" x14ac:dyDescent="0.45">
      <c r="A42" s="5"/>
      <c r="B42" s="5"/>
      <c r="C42" s="5"/>
      <c r="D42" s="5"/>
      <c r="E42" s="5"/>
      <c r="F42" s="5" t="s">
        <v>40</v>
      </c>
      <c r="G42" s="5"/>
      <c r="H42" s="6">
        <v>46099</v>
      </c>
      <c r="I42" s="5"/>
      <c r="J42" s="5" t="s">
        <v>54</v>
      </c>
      <c r="K42" s="5"/>
      <c r="L42" s="5" t="s">
        <v>85</v>
      </c>
      <c r="M42" s="5"/>
      <c r="N42" s="5" t="s">
        <v>21</v>
      </c>
      <c r="O42" s="5"/>
      <c r="P42" s="5" t="s">
        <v>126</v>
      </c>
      <c r="Q42" s="5"/>
      <c r="R42" s="7">
        <v>1</v>
      </c>
      <c r="S42" s="5"/>
      <c r="T42" s="8">
        <v>0</v>
      </c>
      <c r="U42" s="5"/>
      <c r="V42" s="8">
        <f t="shared" si="0"/>
        <v>0</v>
      </c>
      <c r="W42" s="5"/>
      <c r="X42" s="8">
        <f t="shared" si="1"/>
        <v>20659</v>
      </c>
    </row>
    <row r="43" spans="1:24" ht="14.65" outlineLevel="2" x14ac:dyDescent="0.45">
      <c r="A43" s="5"/>
      <c r="B43" s="5"/>
      <c r="C43" s="5"/>
      <c r="D43" s="5"/>
      <c r="E43" s="5"/>
      <c r="F43" s="5" t="s">
        <v>40</v>
      </c>
      <c r="G43" s="5"/>
      <c r="H43" s="6">
        <v>46099</v>
      </c>
      <c r="I43" s="5"/>
      <c r="J43" s="5" t="s">
        <v>54</v>
      </c>
      <c r="K43" s="5"/>
      <c r="L43" s="5" t="s">
        <v>80</v>
      </c>
      <c r="M43" s="5"/>
      <c r="N43" s="5" t="s">
        <v>21</v>
      </c>
      <c r="O43" s="5"/>
      <c r="P43" s="5" t="s">
        <v>120</v>
      </c>
      <c r="Q43" s="5"/>
      <c r="R43" s="7">
        <v>1</v>
      </c>
      <c r="S43" s="5"/>
      <c r="T43" s="8">
        <v>0</v>
      </c>
      <c r="U43" s="5"/>
      <c r="V43" s="8">
        <f t="shared" si="0"/>
        <v>0</v>
      </c>
      <c r="W43" s="5"/>
      <c r="X43" s="8">
        <f t="shared" si="1"/>
        <v>20659</v>
      </c>
    </row>
    <row r="44" spans="1:24" ht="14.65" outlineLevel="2" x14ac:dyDescent="0.45">
      <c r="A44" s="5"/>
      <c r="B44" s="5"/>
      <c r="C44" s="5"/>
      <c r="D44" s="5"/>
      <c r="E44" s="5"/>
      <c r="F44" s="5" t="s">
        <v>40</v>
      </c>
      <c r="G44" s="5"/>
      <c r="H44" s="6">
        <v>46133</v>
      </c>
      <c r="I44" s="5"/>
      <c r="J44" s="5" t="s">
        <v>55</v>
      </c>
      <c r="K44" s="5"/>
      <c r="L44" s="5" t="s">
        <v>88</v>
      </c>
      <c r="M44" s="5"/>
      <c r="N44" s="5" t="s">
        <v>21</v>
      </c>
      <c r="O44" s="5"/>
      <c r="P44" s="5" t="s">
        <v>129</v>
      </c>
      <c r="Q44" s="5"/>
      <c r="R44" s="7">
        <v>1</v>
      </c>
      <c r="S44" s="5"/>
      <c r="T44" s="8">
        <v>1880</v>
      </c>
      <c r="U44" s="5"/>
      <c r="V44" s="8">
        <f t="shared" si="0"/>
        <v>1880</v>
      </c>
      <c r="W44" s="5"/>
      <c r="X44" s="8">
        <f t="shared" si="1"/>
        <v>22539</v>
      </c>
    </row>
    <row r="45" spans="1:24" ht="14.65" outlineLevel="2" x14ac:dyDescent="0.45">
      <c r="A45" s="5"/>
      <c r="B45" s="5"/>
      <c r="C45" s="5"/>
      <c r="D45" s="5"/>
      <c r="E45" s="5"/>
      <c r="F45" s="5" t="s">
        <v>40</v>
      </c>
      <c r="G45" s="5"/>
      <c r="H45" s="6">
        <v>46133</v>
      </c>
      <c r="I45" s="5"/>
      <c r="J45" s="5" t="s">
        <v>55</v>
      </c>
      <c r="K45" s="5"/>
      <c r="L45" s="5" t="s">
        <v>80</v>
      </c>
      <c r="M45" s="5"/>
      <c r="N45" s="5" t="s">
        <v>21</v>
      </c>
      <c r="O45" s="5"/>
      <c r="P45" s="5" t="s">
        <v>120</v>
      </c>
      <c r="Q45" s="5"/>
      <c r="R45" s="7">
        <v>1</v>
      </c>
      <c r="S45" s="5"/>
      <c r="T45" s="8">
        <v>0</v>
      </c>
      <c r="U45" s="5"/>
      <c r="V45" s="8">
        <f t="shared" si="0"/>
        <v>0</v>
      </c>
      <c r="W45" s="5"/>
      <c r="X45" s="8">
        <f t="shared" si="1"/>
        <v>22539</v>
      </c>
    </row>
    <row r="46" spans="1:24" ht="14.65" outlineLevel="2" x14ac:dyDescent="0.45">
      <c r="A46" s="5"/>
      <c r="B46" s="5"/>
      <c r="C46" s="5"/>
      <c r="D46" s="5"/>
      <c r="E46" s="5"/>
      <c r="F46" s="5" t="s">
        <v>40</v>
      </c>
      <c r="G46" s="5"/>
      <c r="H46" s="6">
        <v>46137</v>
      </c>
      <c r="I46" s="5"/>
      <c r="J46" s="5" t="s">
        <v>56</v>
      </c>
      <c r="K46" s="5"/>
      <c r="L46" s="5" t="s">
        <v>89</v>
      </c>
      <c r="M46" s="5"/>
      <c r="N46" s="5" t="s">
        <v>21</v>
      </c>
      <c r="O46" s="5"/>
      <c r="P46" s="5" t="s">
        <v>130</v>
      </c>
      <c r="Q46" s="5"/>
      <c r="R46" s="7">
        <v>1</v>
      </c>
      <c r="S46" s="5"/>
      <c r="T46" s="7">
        <v>1210</v>
      </c>
      <c r="U46" s="5"/>
      <c r="V46" s="8">
        <f t="shared" si="0"/>
        <v>1210</v>
      </c>
      <c r="W46" s="5"/>
      <c r="X46" s="8">
        <f t="shared" si="1"/>
        <v>23749</v>
      </c>
    </row>
    <row r="47" spans="1:24" ht="14.65" outlineLevel="2" x14ac:dyDescent="0.45">
      <c r="A47" s="5"/>
      <c r="B47" s="5"/>
      <c r="C47" s="5"/>
      <c r="D47" s="5"/>
      <c r="E47" s="5"/>
      <c r="F47" s="5" t="s">
        <v>40</v>
      </c>
      <c r="G47" s="5"/>
      <c r="H47" s="6">
        <v>46137</v>
      </c>
      <c r="I47" s="5"/>
      <c r="J47" s="5" t="s">
        <v>56</v>
      </c>
      <c r="K47" s="5"/>
      <c r="L47" s="5" t="s">
        <v>80</v>
      </c>
      <c r="M47" s="5"/>
      <c r="N47" s="5" t="s">
        <v>21</v>
      </c>
      <c r="O47" s="5"/>
      <c r="P47" s="5" t="s">
        <v>120</v>
      </c>
      <c r="Q47" s="5"/>
      <c r="R47" s="7">
        <v>1</v>
      </c>
      <c r="S47" s="5"/>
      <c r="T47" s="8">
        <v>0</v>
      </c>
      <c r="U47" s="5"/>
      <c r="V47" s="8">
        <f t="shared" si="0"/>
        <v>0</v>
      </c>
      <c r="W47" s="5"/>
      <c r="X47" s="8">
        <f t="shared" si="1"/>
        <v>23749</v>
      </c>
    </row>
    <row r="48" spans="1:24" ht="14.65" outlineLevel="2" x14ac:dyDescent="0.45">
      <c r="A48" s="5"/>
      <c r="B48" s="5"/>
      <c r="C48" s="5"/>
      <c r="D48" s="5"/>
      <c r="E48" s="5"/>
      <c r="F48" s="5" t="s">
        <v>40</v>
      </c>
      <c r="G48" s="5"/>
      <c r="H48" s="6">
        <v>46137</v>
      </c>
      <c r="I48" s="5"/>
      <c r="J48" s="5" t="s">
        <v>56</v>
      </c>
      <c r="K48" s="5"/>
      <c r="L48" s="5" t="s">
        <v>79</v>
      </c>
      <c r="M48" s="5"/>
      <c r="N48" s="5" t="s">
        <v>21</v>
      </c>
      <c r="O48" s="5"/>
      <c r="P48" s="5" t="s">
        <v>119</v>
      </c>
      <c r="Q48" s="5"/>
      <c r="R48" s="7">
        <v>1</v>
      </c>
      <c r="S48" s="5"/>
      <c r="T48" s="8">
        <v>0</v>
      </c>
      <c r="U48" s="5"/>
      <c r="V48" s="8">
        <f t="shared" si="0"/>
        <v>0</v>
      </c>
      <c r="W48" s="5"/>
      <c r="X48" s="8">
        <f t="shared" si="1"/>
        <v>23749</v>
      </c>
    </row>
    <row r="49" spans="1:24" ht="14.65" outlineLevel="2" x14ac:dyDescent="0.45">
      <c r="A49" s="5"/>
      <c r="B49" s="5"/>
      <c r="C49" s="5"/>
      <c r="D49" s="5"/>
      <c r="E49" s="5"/>
      <c r="F49" s="5" t="s">
        <v>40</v>
      </c>
      <c r="G49" s="5"/>
      <c r="H49" s="6">
        <v>46146</v>
      </c>
      <c r="I49" s="5"/>
      <c r="J49" s="5" t="s">
        <v>57</v>
      </c>
      <c r="K49" s="5"/>
      <c r="L49" s="5" t="s">
        <v>90</v>
      </c>
      <c r="M49" s="5"/>
      <c r="N49" s="5" t="s">
        <v>21</v>
      </c>
      <c r="O49" s="5"/>
      <c r="P49" s="5" t="s">
        <v>131</v>
      </c>
      <c r="Q49" s="5"/>
      <c r="R49" s="7">
        <v>1</v>
      </c>
      <c r="S49" s="5"/>
      <c r="T49" s="8">
        <v>1499</v>
      </c>
      <c r="U49" s="5"/>
      <c r="V49" s="8">
        <f t="shared" si="0"/>
        <v>1499</v>
      </c>
      <c r="W49" s="5"/>
      <c r="X49" s="8">
        <f t="shared" si="1"/>
        <v>25248</v>
      </c>
    </row>
    <row r="50" spans="1:24" ht="14.65" outlineLevel="2" x14ac:dyDescent="0.45">
      <c r="A50" s="5"/>
      <c r="B50" s="5"/>
      <c r="C50" s="5"/>
      <c r="D50" s="5"/>
      <c r="E50" s="5"/>
      <c r="F50" s="5" t="s">
        <v>40</v>
      </c>
      <c r="G50" s="5"/>
      <c r="H50" s="6">
        <v>46146</v>
      </c>
      <c r="I50" s="5"/>
      <c r="J50" s="5" t="s">
        <v>57</v>
      </c>
      <c r="K50" s="5"/>
      <c r="L50" s="5" t="s">
        <v>91</v>
      </c>
      <c r="M50" s="5"/>
      <c r="N50" s="5" t="s">
        <v>21</v>
      </c>
      <c r="O50" s="5"/>
      <c r="P50" s="5" t="s">
        <v>132</v>
      </c>
      <c r="Q50" s="5"/>
      <c r="R50" s="7">
        <v>1</v>
      </c>
      <c r="S50" s="5"/>
      <c r="T50" s="8">
        <v>220</v>
      </c>
      <c r="U50" s="5"/>
      <c r="V50" s="8">
        <f t="shared" si="0"/>
        <v>220</v>
      </c>
      <c r="W50" s="5"/>
      <c r="X50" s="8">
        <f t="shared" si="1"/>
        <v>25468</v>
      </c>
    </row>
    <row r="51" spans="1:24" ht="14.65" outlineLevel="2" x14ac:dyDescent="0.45">
      <c r="A51" s="5"/>
      <c r="B51" s="5"/>
      <c r="C51" s="5"/>
      <c r="D51" s="5"/>
      <c r="E51" s="5"/>
      <c r="F51" s="5" t="s">
        <v>40</v>
      </c>
      <c r="G51" s="5"/>
      <c r="H51" s="6">
        <v>46146</v>
      </c>
      <c r="I51" s="5"/>
      <c r="J51" s="5" t="s">
        <v>57</v>
      </c>
      <c r="K51" s="5"/>
      <c r="L51" s="5" t="s">
        <v>92</v>
      </c>
      <c r="M51" s="5"/>
      <c r="N51" s="5" t="s">
        <v>21</v>
      </c>
      <c r="O51" s="5"/>
      <c r="P51" s="5" t="s">
        <v>133</v>
      </c>
      <c r="Q51" s="5"/>
      <c r="R51" s="7">
        <v>1</v>
      </c>
      <c r="S51" s="5"/>
      <c r="T51" s="8">
        <v>137</v>
      </c>
      <c r="U51" s="5"/>
      <c r="V51" s="8">
        <f t="shared" si="0"/>
        <v>137</v>
      </c>
      <c r="W51" s="5"/>
      <c r="X51" s="8">
        <f t="shared" si="1"/>
        <v>25605</v>
      </c>
    </row>
    <row r="52" spans="1:24" ht="14.65" outlineLevel="2" x14ac:dyDescent="0.45">
      <c r="A52" s="5"/>
      <c r="B52" s="5"/>
      <c r="C52" s="5"/>
      <c r="D52" s="5"/>
      <c r="E52" s="5"/>
      <c r="F52" s="5" t="s">
        <v>40</v>
      </c>
      <c r="G52" s="5"/>
      <c r="H52" s="6">
        <v>46146</v>
      </c>
      <c r="I52" s="5"/>
      <c r="J52" s="5" t="s">
        <v>57</v>
      </c>
      <c r="K52" s="5"/>
      <c r="L52" s="5" t="s">
        <v>80</v>
      </c>
      <c r="M52" s="5"/>
      <c r="N52" s="5" t="s">
        <v>21</v>
      </c>
      <c r="O52" s="5"/>
      <c r="P52" s="5" t="s">
        <v>120</v>
      </c>
      <c r="Q52" s="5"/>
      <c r="R52" s="7">
        <v>1</v>
      </c>
      <c r="S52" s="5"/>
      <c r="T52" s="8">
        <v>0</v>
      </c>
      <c r="U52" s="5"/>
      <c r="V52" s="8">
        <f t="shared" si="0"/>
        <v>0</v>
      </c>
      <c r="W52" s="5"/>
      <c r="X52" s="8">
        <f t="shared" si="1"/>
        <v>25605</v>
      </c>
    </row>
    <row r="53" spans="1:24" ht="14.65" outlineLevel="2" x14ac:dyDescent="0.45">
      <c r="A53" s="5"/>
      <c r="B53" s="5"/>
      <c r="C53" s="5"/>
      <c r="D53" s="5"/>
      <c r="E53" s="5"/>
      <c r="F53" s="5" t="s">
        <v>40</v>
      </c>
      <c r="G53" s="5"/>
      <c r="H53" s="6">
        <v>46146</v>
      </c>
      <c r="I53" s="5"/>
      <c r="J53" s="5" t="s">
        <v>57</v>
      </c>
      <c r="K53" s="5"/>
      <c r="L53" s="5" t="s">
        <v>93</v>
      </c>
      <c r="M53" s="5"/>
      <c r="N53" s="5" t="s">
        <v>21</v>
      </c>
      <c r="O53" s="5"/>
      <c r="P53" s="5" t="s">
        <v>134</v>
      </c>
      <c r="Q53" s="5"/>
      <c r="R53" s="7">
        <v>1</v>
      </c>
      <c r="S53" s="5"/>
      <c r="T53" s="7">
        <v>-56</v>
      </c>
      <c r="U53" s="5"/>
      <c r="V53" s="8">
        <f t="shared" si="0"/>
        <v>-56</v>
      </c>
      <c r="W53" s="5"/>
      <c r="X53" s="8">
        <f t="shared" si="1"/>
        <v>25549</v>
      </c>
    </row>
    <row r="54" spans="1:24" ht="14.65" outlineLevel="2" x14ac:dyDescent="0.45">
      <c r="A54" s="5"/>
      <c r="B54" s="5"/>
      <c r="C54" s="5"/>
      <c r="D54" s="5"/>
      <c r="E54" s="5"/>
      <c r="F54" s="5" t="s">
        <v>40</v>
      </c>
      <c r="G54" s="5"/>
      <c r="H54" s="6">
        <v>46149</v>
      </c>
      <c r="I54" s="5"/>
      <c r="J54" s="5" t="s">
        <v>58</v>
      </c>
      <c r="K54" s="5"/>
      <c r="L54" s="5" t="s">
        <v>94</v>
      </c>
      <c r="M54" s="5"/>
      <c r="N54" s="5" t="s">
        <v>21</v>
      </c>
      <c r="O54" s="5"/>
      <c r="P54" s="5" t="s">
        <v>135</v>
      </c>
      <c r="Q54" s="5"/>
      <c r="R54" s="7">
        <v>1</v>
      </c>
      <c r="S54" s="5"/>
      <c r="T54" s="8">
        <v>4889</v>
      </c>
      <c r="U54" s="5"/>
      <c r="V54" s="8">
        <f t="shared" si="0"/>
        <v>4889</v>
      </c>
      <c r="W54" s="5"/>
      <c r="X54" s="8">
        <f t="shared" si="1"/>
        <v>30438</v>
      </c>
    </row>
    <row r="55" spans="1:24" ht="15" outlineLevel="2" thickBot="1" x14ac:dyDescent="0.5">
      <c r="A55" s="5"/>
      <c r="B55" s="5"/>
      <c r="C55" s="5"/>
      <c r="D55" s="5"/>
      <c r="E55" s="5"/>
      <c r="F55" s="5" t="s">
        <v>40</v>
      </c>
      <c r="G55" s="5"/>
      <c r="H55" s="6">
        <v>46149</v>
      </c>
      <c r="I55" s="5"/>
      <c r="J55" s="5" t="s">
        <v>58</v>
      </c>
      <c r="K55" s="5"/>
      <c r="L55" s="5" t="s">
        <v>80</v>
      </c>
      <c r="M55" s="5"/>
      <c r="N55" s="5" t="s">
        <v>21</v>
      </c>
      <c r="O55" s="5"/>
      <c r="P55" s="5" t="s">
        <v>120</v>
      </c>
      <c r="Q55" s="5"/>
      <c r="R55" s="9">
        <v>1</v>
      </c>
      <c r="S55" s="5"/>
      <c r="T55" s="8">
        <v>0</v>
      </c>
      <c r="U55" s="5"/>
      <c r="V55" s="10">
        <f t="shared" si="0"/>
        <v>0</v>
      </c>
      <c r="W55" s="5"/>
      <c r="X55" s="10">
        <f t="shared" si="1"/>
        <v>30438</v>
      </c>
    </row>
    <row r="56" spans="1:24" ht="14.65" outlineLevel="1" x14ac:dyDescent="0.45">
      <c r="A56" s="5"/>
      <c r="B56" s="5"/>
      <c r="C56" s="5" t="s">
        <v>22</v>
      </c>
      <c r="D56" s="5"/>
      <c r="E56" s="5"/>
      <c r="F56" s="5"/>
      <c r="G56" s="5"/>
      <c r="H56" s="6"/>
      <c r="I56" s="5"/>
      <c r="J56" s="5"/>
      <c r="K56" s="5"/>
      <c r="L56" s="5"/>
      <c r="M56" s="5"/>
      <c r="N56" s="5"/>
      <c r="O56" s="5"/>
      <c r="P56" s="5"/>
      <c r="Q56" s="5"/>
      <c r="R56" s="7">
        <f>ROUND(SUM(R17:R55),5)</f>
        <v>45</v>
      </c>
      <c r="S56" s="5"/>
      <c r="T56" s="8"/>
      <c r="U56" s="5"/>
      <c r="V56" s="8">
        <f>ROUND(SUM(V17:V55),5)</f>
        <v>30438</v>
      </c>
      <c r="W56" s="5"/>
      <c r="X56" s="8">
        <f>X55</f>
        <v>30438</v>
      </c>
    </row>
    <row r="57" spans="1:24" ht="14.65" outlineLevel="2" x14ac:dyDescent="0.45">
      <c r="A57" s="5"/>
      <c r="B57" s="5" t="s">
        <v>158</v>
      </c>
      <c r="C57" s="5" t="s">
        <v>23</v>
      </c>
      <c r="D57" s="5"/>
      <c r="E57" s="5"/>
      <c r="F57" s="5"/>
      <c r="G57" s="5"/>
      <c r="H57" s="6"/>
      <c r="I57" s="5"/>
      <c r="J57" s="5"/>
      <c r="K57" s="5"/>
      <c r="L57" s="5"/>
      <c r="M57" s="5"/>
      <c r="N57" s="5"/>
      <c r="O57" s="5"/>
      <c r="P57" s="5"/>
      <c r="Q57" s="5"/>
      <c r="R57" s="7"/>
      <c r="S57" s="5"/>
      <c r="T57" s="8"/>
      <c r="U57" s="5"/>
      <c r="V57" s="8"/>
      <c r="W57" s="5"/>
      <c r="X57" s="8"/>
    </row>
    <row r="58" spans="1:24" ht="14.65" outlineLevel="2" x14ac:dyDescent="0.45">
      <c r="A58" s="5"/>
      <c r="B58" s="5"/>
      <c r="C58" s="5"/>
      <c r="D58" s="5"/>
      <c r="E58" s="5"/>
      <c r="F58" s="5" t="s">
        <v>40</v>
      </c>
      <c r="G58" s="5"/>
      <c r="H58" s="6">
        <v>46030</v>
      </c>
      <c r="I58" s="5"/>
      <c r="J58" s="5" t="s">
        <v>59</v>
      </c>
      <c r="K58" s="5"/>
      <c r="L58" s="5" t="s">
        <v>95</v>
      </c>
      <c r="M58" s="5"/>
      <c r="N58" s="5" t="s">
        <v>23</v>
      </c>
      <c r="O58" s="5"/>
      <c r="P58" s="5" t="s">
        <v>136</v>
      </c>
      <c r="Q58" s="5"/>
      <c r="R58" s="7">
        <v>1</v>
      </c>
      <c r="S58" s="5"/>
      <c r="T58" s="8">
        <v>2450</v>
      </c>
      <c r="U58" s="5"/>
      <c r="V58" s="8">
        <f>ROUND(IF(ISNUMBER(T58), R58*T58, R58),5)</f>
        <v>2450</v>
      </c>
      <c r="W58" s="5"/>
      <c r="X58" s="8">
        <f>ROUND(X57+V58,5)</f>
        <v>2450</v>
      </c>
    </row>
    <row r="59" spans="1:24" ht="14.65" outlineLevel="2" x14ac:dyDescent="0.45">
      <c r="A59" s="5"/>
      <c r="B59" s="5"/>
      <c r="C59" s="5"/>
      <c r="D59" s="5"/>
      <c r="E59" s="5"/>
      <c r="F59" s="5" t="s">
        <v>40</v>
      </c>
      <c r="G59" s="5"/>
      <c r="H59" s="6">
        <v>46055</v>
      </c>
      <c r="I59" s="5"/>
      <c r="J59" s="5" t="s">
        <v>47</v>
      </c>
      <c r="K59" s="5"/>
      <c r="L59" s="5" t="s">
        <v>96</v>
      </c>
      <c r="M59" s="5"/>
      <c r="N59" s="5" t="s">
        <v>23</v>
      </c>
      <c r="O59" s="5"/>
      <c r="P59" s="5" t="s">
        <v>137</v>
      </c>
      <c r="Q59" s="5"/>
      <c r="R59" s="7">
        <v>1</v>
      </c>
      <c r="S59" s="5"/>
      <c r="T59" s="8">
        <v>635</v>
      </c>
      <c r="U59" s="5"/>
      <c r="V59" s="8">
        <f>ROUND(IF(ISNUMBER(T59), R59*T59, R59),5)</f>
        <v>635</v>
      </c>
      <c r="W59" s="5"/>
      <c r="X59" s="8">
        <f>ROUND(X58+V59,5)</f>
        <v>3085</v>
      </c>
    </row>
    <row r="60" spans="1:24" ht="14.65" outlineLevel="2" x14ac:dyDescent="0.45">
      <c r="A60" s="5"/>
      <c r="B60" s="5"/>
      <c r="C60" s="5"/>
      <c r="D60" s="5"/>
      <c r="E60" s="5"/>
      <c r="F60" s="5" t="s">
        <v>40</v>
      </c>
      <c r="G60" s="5"/>
      <c r="H60" s="6">
        <v>46107</v>
      </c>
      <c r="I60" s="5"/>
      <c r="J60" s="5" t="s">
        <v>60</v>
      </c>
      <c r="K60" s="5"/>
      <c r="L60" s="5" t="s">
        <v>97</v>
      </c>
      <c r="M60" s="5"/>
      <c r="N60" s="5" t="s">
        <v>23</v>
      </c>
      <c r="O60" s="5"/>
      <c r="P60" s="5" t="s">
        <v>138</v>
      </c>
      <c r="Q60" s="5"/>
      <c r="R60" s="7">
        <v>1</v>
      </c>
      <c r="S60" s="5"/>
      <c r="T60" s="8">
        <v>1125</v>
      </c>
      <c r="U60" s="5"/>
      <c r="V60" s="8">
        <f>ROUND(IF(ISNUMBER(T60), R60*T60, R60),5)</f>
        <v>1125</v>
      </c>
      <c r="W60" s="5"/>
      <c r="X60" s="8">
        <f>ROUND(X59+V60,5)</f>
        <v>4210</v>
      </c>
    </row>
    <row r="61" spans="1:24" ht="15" outlineLevel="2" thickBot="1" x14ac:dyDescent="0.5">
      <c r="A61" s="5"/>
      <c r="B61" s="5"/>
      <c r="C61" s="5"/>
      <c r="D61" s="5"/>
      <c r="E61" s="5"/>
      <c r="F61" s="5" t="s">
        <v>40</v>
      </c>
      <c r="G61" s="5"/>
      <c r="H61" s="6">
        <v>46107</v>
      </c>
      <c r="I61" s="5"/>
      <c r="J61" s="5" t="s">
        <v>60</v>
      </c>
      <c r="K61" s="5"/>
      <c r="L61" s="5" t="s">
        <v>98</v>
      </c>
      <c r="M61" s="5"/>
      <c r="N61" s="5" t="s">
        <v>23</v>
      </c>
      <c r="O61" s="5"/>
      <c r="P61" s="5" t="s">
        <v>139</v>
      </c>
      <c r="Q61" s="5"/>
      <c r="R61" s="9">
        <v>1</v>
      </c>
      <c r="S61" s="5"/>
      <c r="T61" s="8">
        <v>0</v>
      </c>
      <c r="U61" s="5"/>
      <c r="V61" s="10">
        <f>ROUND(IF(ISNUMBER(T61), R61*T61, R61),5)</f>
        <v>0</v>
      </c>
      <c r="W61" s="5"/>
      <c r="X61" s="10">
        <f>ROUND(X60+V61,5)</f>
        <v>4210</v>
      </c>
    </row>
    <row r="62" spans="1:24" ht="14.65" outlineLevel="1" x14ac:dyDescent="0.45">
      <c r="A62" s="5"/>
      <c r="B62" s="5"/>
      <c r="C62" s="5" t="s">
        <v>24</v>
      </c>
      <c r="D62" s="5"/>
      <c r="E62" s="5"/>
      <c r="F62" s="5"/>
      <c r="G62" s="5"/>
      <c r="H62" s="6"/>
      <c r="I62" s="5"/>
      <c r="J62" s="5"/>
      <c r="K62" s="5"/>
      <c r="L62" s="5"/>
      <c r="M62" s="5"/>
      <c r="N62" s="5"/>
      <c r="O62" s="5"/>
      <c r="P62" s="5"/>
      <c r="Q62" s="5"/>
      <c r="R62" s="7">
        <f>ROUND(SUM(R57:R61),5)</f>
        <v>4</v>
      </c>
      <c r="S62" s="5"/>
      <c r="T62" s="8"/>
      <c r="U62" s="5"/>
      <c r="V62" s="8">
        <f>ROUND(SUM(V57:V61),5)</f>
        <v>4210</v>
      </c>
      <c r="W62" s="5"/>
      <c r="X62" s="8">
        <f>X61</f>
        <v>4210</v>
      </c>
    </row>
    <row r="63" spans="1:24" ht="14.65" outlineLevel="2" x14ac:dyDescent="0.45">
      <c r="A63" s="5"/>
      <c r="B63" s="5" t="s">
        <v>158</v>
      </c>
      <c r="C63" s="5" t="s">
        <v>25</v>
      </c>
      <c r="D63" s="5"/>
      <c r="E63" s="5"/>
      <c r="F63" s="5"/>
      <c r="G63" s="5"/>
      <c r="H63" s="6"/>
      <c r="I63" s="5"/>
      <c r="J63" s="5"/>
      <c r="K63" s="5"/>
      <c r="L63" s="5"/>
      <c r="M63" s="5"/>
      <c r="N63" s="5"/>
      <c r="O63" s="5"/>
      <c r="P63" s="5"/>
      <c r="Q63" s="5"/>
      <c r="R63" s="7"/>
      <c r="S63" s="5"/>
      <c r="T63" s="8"/>
      <c r="U63" s="5"/>
      <c r="V63" s="8"/>
      <c r="W63" s="5"/>
      <c r="X63" s="8"/>
    </row>
    <row r="64" spans="1:24" ht="14.65" outlineLevel="2" x14ac:dyDescent="0.45">
      <c r="A64" s="5"/>
      <c r="B64" s="5"/>
      <c r="C64" s="5"/>
      <c r="D64" s="5"/>
      <c r="E64" s="5"/>
      <c r="F64" s="5" t="s">
        <v>40</v>
      </c>
      <c r="G64" s="5"/>
      <c r="H64" s="6">
        <v>46044</v>
      </c>
      <c r="I64" s="5"/>
      <c r="J64" s="5" t="s">
        <v>61</v>
      </c>
      <c r="K64" s="5"/>
      <c r="L64" s="5" t="s">
        <v>99</v>
      </c>
      <c r="M64" s="5"/>
      <c r="N64" s="5" t="s">
        <v>25</v>
      </c>
      <c r="O64" s="5"/>
      <c r="P64" s="5" t="s">
        <v>140</v>
      </c>
      <c r="Q64" s="5"/>
      <c r="R64" s="7">
        <v>1</v>
      </c>
      <c r="S64" s="5"/>
      <c r="T64" s="8">
        <v>73</v>
      </c>
      <c r="U64" s="5"/>
      <c r="V64" s="8">
        <f t="shared" ref="V64:V69" si="2">ROUND(IF(ISNUMBER(T64), R64*T64, R64),5)</f>
        <v>73</v>
      </c>
      <c r="W64" s="5"/>
      <c r="X64" s="8">
        <f t="shared" ref="X64:X69" si="3">ROUND(X63+V64,5)</f>
        <v>73</v>
      </c>
    </row>
    <row r="65" spans="1:24" ht="14.65" outlineLevel="2" x14ac:dyDescent="0.45">
      <c r="A65" s="5"/>
      <c r="B65" s="5"/>
      <c r="C65" s="5"/>
      <c r="D65" s="5"/>
      <c r="E65" s="5"/>
      <c r="F65" s="5" t="s">
        <v>40</v>
      </c>
      <c r="G65" s="5"/>
      <c r="H65" s="6">
        <v>46044</v>
      </c>
      <c r="I65" s="5"/>
      <c r="J65" s="5" t="s">
        <v>61</v>
      </c>
      <c r="K65" s="5"/>
      <c r="L65" s="5" t="s">
        <v>100</v>
      </c>
      <c r="M65" s="5"/>
      <c r="N65" s="5" t="s">
        <v>25</v>
      </c>
      <c r="O65" s="5"/>
      <c r="P65" s="5" t="s">
        <v>141</v>
      </c>
      <c r="Q65" s="5"/>
      <c r="R65" s="7">
        <v>1</v>
      </c>
      <c r="S65" s="5"/>
      <c r="T65" s="8">
        <v>37</v>
      </c>
      <c r="U65" s="5"/>
      <c r="V65" s="8">
        <f t="shared" si="2"/>
        <v>37</v>
      </c>
      <c r="W65" s="5"/>
      <c r="X65" s="8">
        <f t="shared" si="3"/>
        <v>110</v>
      </c>
    </row>
    <row r="66" spans="1:24" ht="14.65" outlineLevel="2" x14ac:dyDescent="0.45">
      <c r="A66" s="5"/>
      <c r="B66" s="5"/>
      <c r="C66" s="5"/>
      <c r="D66" s="5"/>
      <c r="E66" s="5"/>
      <c r="F66" s="5" t="s">
        <v>40</v>
      </c>
      <c r="G66" s="5"/>
      <c r="H66" s="6">
        <v>46045</v>
      </c>
      <c r="I66" s="5"/>
      <c r="J66" s="5" t="s">
        <v>62</v>
      </c>
      <c r="K66" s="5"/>
      <c r="L66" s="5" t="s">
        <v>101</v>
      </c>
      <c r="M66" s="5"/>
      <c r="N66" s="5" t="s">
        <v>25</v>
      </c>
      <c r="O66" s="5"/>
      <c r="P66" s="5" t="s">
        <v>142</v>
      </c>
      <c r="Q66" s="5"/>
      <c r="R66" s="7">
        <v>1</v>
      </c>
      <c r="S66" s="5"/>
      <c r="T66" s="8">
        <v>929</v>
      </c>
      <c r="U66" s="5"/>
      <c r="V66" s="8">
        <f t="shared" si="2"/>
        <v>929</v>
      </c>
      <c r="W66" s="5"/>
      <c r="X66" s="8">
        <f t="shared" si="3"/>
        <v>1039</v>
      </c>
    </row>
    <row r="67" spans="1:24" ht="14.65" outlineLevel="2" x14ac:dyDescent="0.45">
      <c r="A67" s="5"/>
      <c r="B67" s="5"/>
      <c r="C67" s="5"/>
      <c r="D67" s="5"/>
      <c r="E67" s="5"/>
      <c r="F67" s="5" t="s">
        <v>40</v>
      </c>
      <c r="G67" s="5"/>
      <c r="H67" s="6">
        <v>46121</v>
      </c>
      <c r="I67" s="5"/>
      <c r="J67" s="5" t="s">
        <v>63</v>
      </c>
      <c r="K67" s="5"/>
      <c r="L67" s="5" t="s">
        <v>102</v>
      </c>
      <c r="M67" s="5"/>
      <c r="N67" s="5" t="s">
        <v>25</v>
      </c>
      <c r="O67" s="5"/>
      <c r="P67" s="5" t="s">
        <v>143</v>
      </c>
      <c r="Q67" s="5"/>
      <c r="R67" s="7">
        <v>1</v>
      </c>
      <c r="S67" s="5"/>
      <c r="T67" s="8">
        <v>87</v>
      </c>
      <c r="U67" s="5"/>
      <c r="V67" s="8">
        <f t="shared" si="2"/>
        <v>87</v>
      </c>
      <c r="W67" s="5"/>
      <c r="X67" s="8">
        <f t="shared" si="3"/>
        <v>1126</v>
      </c>
    </row>
    <row r="68" spans="1:24" ht="14.65" outlineLevel="2" x14ac:dyDescent="0.45">
      <c r="A68" s="5"/>
      <c r="B68" s="5"/>
      <c r="C68" s="5"/>
      <c r="D68" s="5"/>
      <c r="E68" s="5"/>
      <c r="F68" s="5" t="s">
        <v>40</v>
      </c>
      <c r="G68" s="5"/>
      <c r="H68" s="6">
        <v>46121</v>
      </c>
      <c r="I68" s="5"/>
      <c r="J68" s="5" t="s">
        <v>64</v>
      </c>
      <c r="K68" s="5"/>
      <c r="L68" s="5" t="s">
        <v>89</v>
      </c>
      <c r="M68" s="5"/>
      <c r="N68" s="5" t="s">
        <v>25</v>
      </c>
      <c r="O68" s="5"/>
      <c r="P68" s="5" t="s">
        <v>130</v>
      </c>
      <c r="Q68" s="5"/>
      <c r="R68" s="7">
        <v>5</v>
      </c>
      <c r="S68" s="5"/>
      <c r="T68" s="8">
        <v>1165</v>
      </c>
      <c r="U68" s="5"/>
      <c r="V68" s="8">
        <f t="shared" si="2"/>
        <v>5825</v>
      </c>
      <c r="W68" s="5"/>
      <c r="X68" s="8">
        <f t="shared" si="3"/>
        <v>6951</v>
      </c>
    </row>
    <row r="69" spans="1:24" ht="15" outlineLevel="2" thickBot="1" x14ac:dyDescent="0.5">
      <c r="A69" s="5"/>
      <c r="B69" s="5"/>
      <c r="C69" s="5"/>
      <c r="D69" s="5"/>
      <c r="E69" s="5"/>
      <c r="F69" s="5" t="s">
        <v>40</v>
      </c>
      <c r="G69" s="5"/>
      <c r="H69" s="6">
        <v>46146</v>
      </c>
      <c r="I69" s="5"/>
      <c r="J69" s="5" t="s">
        <v>65</v>
      </c>
      <c r="K69" s="5"/>
      <c r="L69" s="5" t="s">
        <v>103</v>
      </c>
      <c r="M69" s="5"/>
      <c r="N69" s="5" t="s">
        <v>25</v>
      </c>
      <c r="O69" s="5"/>
      <c r="P69" s="5" t="s">
        <v>144</v>
      </c>
      <c r="Q69" s="5"/>
      <c r="R69" s="9">
        <v>1</v>
      </c>
      <c r="S69" s="5"/>
      <c r="T69" s="8">
        <v>836</v>
      </c>
      <c r="U69" s="5"/>
      <c r="V69" s="10">
        <f t="shared" si="2"/>
        <v>836</v>
      </c>
      <c r="W69" s="5"/>
      <c r="X69" s="10">
        <f t="shared" si="3"/>
        <v>7787</v>
      </c>
    </row>
    <row r="70" spans="1:24" ht="14.65" outlineLevel="1" x14ac:dyDescent="0.45">
      <c r="A70" s="5"/>
      <c r="B70" s="5"/>
      <c r="C70" s="5" t="s">
        <v>26</v>
      </c>
      <c r="D70" s="5"/>
      <c r="E70" s="5"/>
      <c r="F70" s="5"/>
      <c r="G70" s="5"/>
      <c r="H70" s="6"/>
      <c r="I70" s="5"/>
      <c r="J70" s="5"/>
      <c r="K70" s="5"/>
      <c r="L70" s="5"/>
      <c r="M70" s="5"/>
      <c r="N70" s="5"/>
      <c r="O70" s="5"/>
      <c r="P70" s="5"/>
      <c r="Q70" s="5"/>
      <c r="R70" s="7">
        <f>ROUND(SUM(R63:R69),5)</f>
        <v>10</v>
      </c>
      <c r="S70" s="5"/>
      <c r="T70" s="8"/>
      <c r="U70" s="5"/>
      <c r="V70" s="8">
        <f>ROUND(SUM(V63:V69),5)</f>
        <v>7787</v>
      </c>
      <c r="W70" s="5"/>
      <c r="X70" s="8">
        <f>X69</f>
        <v>7787</v>
      </c>
    </row>
    <row r="71" spans="1:24" ht="14.65" outlineLevel="2" x14ac:dyDescent="0.45">
      <c r="A71" s="5"/>
      <c r="B71" s="5" t="s">
        <v>158</v>
      </c>
      <c r="C71" s="5" t="s">
        <v>27</v>
      </c>
      <c r="D71" s="5"/>
      <c r="E71" s="5"/>
      <c r="F71" s="5"/>
      <c r="G71" s="5"/>
      <c r="H71" s="6"/>
      <c r="I71" s="5"/>
      <c r="J71" s="5"/>
      <c r="K71" s="5"/>
      <c r="L71" s="5"/>
      <c r="M71" s="5"/>
      <c r="N71" s="5"/>
      <c r="O71" s="5"/>
      <c r="P71" s="5"/>
      <c r="Q71" s="5"/>
      <c r="R71" s="7"/>
      <c r="S71" s="5"/>
      <c r="T71" s="8"/>
      <c r="U71" s="5"/>
      <c r="V71" s="8"/>
      <c r="W71" s="5"/>
      <c r="X71" s="8"/>
    </row>
    <row r="72" spans="1:24" ht="14.65" outlineLevel="2" x14ac:dyDescent="0.45">
      <c r="A72" s="5"/>
      <c r="B72" s="5"/>
      <c r="C72" s="5"/>
      <c r="D72" s="5"/>
      <c r="E72" s="5"/>
      <c r="F72" s="5" t="s">
        <v>40</v>
      </c>
      <c r="G72" s="5"/>
      <c r="H72" s="6">
        <v>46037</v>
      </c>
      <c r="I72" s="5"/>
      <c r="J72" s="5" t="s">
        <v>66</v>
      </c>
      <c r="K72" s="5"/>
      <c r="L72" s="5" t="s">
        <v>82</v>
      </c>
      <c r="M72" s="5"/>
      <c r="N72" s="5" t="s">
        <v>27</v>
      </c>
      <c r="O72" s="5"/>
      <c r="P72" s="5" t="s">
        <v>123</v>
      </c>
      <c r="Q72" s="5"/>
      <c r="R72" s="7">
        <v>9</v>
      </c>
      <c r="S72" s="5"/>
      <c r="T72" s="8">
        <v>1994</v>
      </c>
      <c r="U72" s="5"/>
      <c r="V72" s="8">
        <f>ROUND(IF(ISNUMBER(T72), R72*T72, R72),5)</f>
        <v>17946</v>
      </c>
      <c r="W72" s="5"/>
      <c r="X72" s="8">
        <f>ROUND(X71+V72,5)</f>
        <v>17946</v>
      </c>
    </row>
    <row r="73" spans="1:24" ht="14.65" outlineLevel="2" x14ac:dyDescent="0.45">
      <c r="A73" s="5"/>
      <c r="B73" s="5"/>
      <c r="C73" s="5"/>
      <c r="D73" s="5"/>
      <c r="E73" s="5"/>
      <c r="F73" s="5" t="s">
        <v>40</v>
      </c>
      <c r="G73" s="5"/>
      <c r="H73" s="6">
        <v>46037</v>
      </c>
      <c r="I73" s="5"/>
      <c r="J73" s="5" t="s">
        <v>66</v>
      </c>
      <c r="K73" s="5"/>
      <c r="L73" s="5" t="s">
        <v>84</v>
      </c>
      <c r="M73" s="5"/>
      <c r="N73" s="5" t="s">
        <v>27</v>
      </c>
      <c r="O73" s="5"/>
      <c r="P73" s="5" t="s">
        <v>125</v>
      </c>
      <c r="Q73" s="5"/>
      <c r="R73" s="7">
        <v>4</v>
      </c>
      <c r="S73" s="5"/>
      <c r="T73" s="8">
        <v>730</v>
      </c>
      <c r="U73" s="5"/>
      <c r="V73" s="8">
        <f>ROUND(IF(ISNUMBER(T73), R73*T73, R73),5)</f>
        <v>2920</v>
      </c>
      <c r="W73" s="5"/>
      <c r="X73" s="8">
        <f>ROUND(X72+V73,5)</f>
        <v>20866</v>
      </c>
    </row>
    <row r="74" spans="1:24" ht="15" outlineLevel="2" thickBot="1" x14ac:dyDescent="0.5">
      <c r="A74" s="5"/>
      <c r="B74" s="5"/>
      <c r="C74" s="5"/>
      <c r="D74" s="5"/>
      <c r="E74" s="5"/>
      <c r="F74" s="5" t="s">
        <v>40</v>
      </c>
      <c r="G74" s="5"/>
      <c r="H74" s="6">
        <v>46037</v>
      </c>
      <c r="I74" s="5"/>
      <c r="J74" s="5" t="s">
        <v>66</v>
      </c>
      <c r="K74" s="5"/>
      <c r="L74" s="5" t="s">
        <v>93</v>
      </c>
      <c r="M74" s="5"/>
      <c r="N74" s="5" t="s">
        <v>27</v>
      </c>
      <c r="O74" s="5"/>
      <c r="P74" s="5" t="s">
        <v>134</v>
      </c>
      <c r="Q74" s="5"/>
      <c r="R74" s="9">
        <v>1</v>
      </c>
      <c r="S74" s="5"/>
      <c r="T74" s="8">
        <v>-450</v>
      </c>
      <c r="U74" s="5"/>
      <c r="V74" s="10">
        <f>ROUND(IF(ISNUMBER(T74), R74*T74, R74),5)</f>
        <v>-450</v>
      </c>
      <c r="W74" s="5"/>
      <c r="X74" s="10">
        <f>ROUND(X73+V74,5)</f>
        <v>20416</v>
      </c>
    </row>
    <row r="75" spans="1:24" ht="14.65" outlineLevel="1" x14ac:dyDescent="0.45">
      <c r="A75" s="5"/>
      <c r="B75" s="5"/>
      <c r="C75" s="5" t="s">
        <v>28</v>
      </c>
      <c r="D75" s="5"/>
      <c r="E75" s="5"/>
      <c r="F75" s="5"/>
      <c r="G75" s="5"/>
      <c r="H75" s="6"/>
      <c r="I75" s="5"/>
      <c r="J75" s="5"/>
      <c r="K75" s="5"/>
      <c r="L75" s="5"/>
      <c r="M75" s="5"/>
      <c r="N75" s="5"/>
      <c r="O75" s="5"/>
      <c r="P75" s="5"/>
      <c r="Q75" s="5"/>
      <c r="R75" s="7">
        <f>ROUND(SUM(R71:R74),5)</f>
        <v>14</v>
      </c>
      <c r="S75" s="5"/>
      <c r="T75" s="8"/>
      <c r="U75" s="5"/>
      <c r="V75" s="8">
        <f>ROUND(SUM(V71:V74),5)</f>
        <v>20416</v>
      </c>
      <c r="W75" s="5"/>
      <c r="X75" s="8">
        <f>X74</f>
        <v>20416</v>
      </c>
    </row>
    <row r="76" spans="1:24" ht="14.65" outlineLevel="2" x14ac:dyDescent="0.45">
      <c r="A76" s="5"/>
      <c r="B76" s="5" t="s">
        <v>158</v>
      </c>
      <c r="C76" s="5" t="s">
        <v>29</v>
      </c>
      <c r="D76" s="5"/>
      <c r="E76" s="5"/>
      <c r="F76" s="5"/>
      <c r="G76" s="5"/>
      <c r="H76" s="6"/>
      <c r="I76" s="5"/>
      <c r="J76" s="5"/>
      <c r="K76" s="5"/>
      <c r="L76" s="5"/>
      <c r="M76" s="5"/>
      <c r="N76" s="5"/>
      <c r="O76" s="5"/>
      <c r="P76" s="5"/>
      <c r="Q76" s="5"/>
      <c r="R76" s="7"/>
      <c r="S76" s="5"/>
      <c r="T76" s="8"/>
      <c r="U76" s="5"/>
      <c r="V76" s="8"/>
      <c r="W76" s="5"/>
      <c r="X76" s="8"/>
    </row>
    <row r="77" spans="1:24" ht="15" outlineLevel="2" thickBot="1" x14ac:dyDescent="0.5">
      <c r="A77" s="1"/>
      <c r="B77" s="1"/>
      <c r="C77" s="1"/>
      <c r="D77" s="5"/>
      <c r="E77" s="5"/>
      <c r="F77" s="5" t="s">
        <v>40</v>
      </c>
      <c r="G77" s="5"/>
      <c r="H77" s="6">
        <v>46041</v>
      </c>
      <c r="I77" s="5"/>
      <c r="J77" s="5" t="s">
        <v>67</v>
      </c>
      <c r="K77" s="5"/>
      <c r="L77" s="5" t="s">
        <v>104</v>
      </c>
      <c r="M77" s="5"/>
      <c r="N77" s="5" t="s">
        <v>29</v>
      </c>
      <c r="O77" s="5"/>
      <c r="P77" s="5" t="s">
        <v>145</v>
      </c>
      <c r="Q77" s="5"/>
      <c r="R77" s="9">
        <v>1</v>
      </c>
      <c r="S77" s="5"/>
      <c r="T77" s="8">
        <v>119</v>
      </c>
      <c r="U77" s="5"/>
      <c r="V77" s="10">
        <f>ROUND(IF(ISNUMBER(T77), R77*T77, R77),5)</f>
        <v>119</v>
      </c>
      <c r="W77" s="5"/>
      <c r="X77" s="10">
        <f>ROUND(X76+V77,5)</f>
        <v>119</v>
      </c>
    </row>
    <row r="78" spans="1:24" ht="14.65" outlineLevel="1" x14ac:dyDescent="0.45">
      <c r="A78" s="5"/>
      <c r="B78" s="5"/>
      <c r="C78" s="5" t="s">
        <v>30</v>
      </c>
      <c r="D78" s="5"/>
      <c r="E78" s="5"/>
      <c r="F78" s="5"/>
      <c r="G78" s="5"/>
      <c r="H78" s="6"/>
      <c r="I78" s="5"/>
      <c r="J78" s="5"/>
      <c r="K78" s="5"/>
      <c r="L78" s="5"/>
      <c r="M78" s="5"/>
      <c r="N78" s="5"/>
      <c r="O78" s="5"/>
      <c r="P78" s="5"/>
      <c r="Q78" s="5"/>
      <c r="R78" s="7">
        <f>ROUND(SUM(R76:R77),5)</f>
        <v>1</v>
      </c>
      <c r="S78" s="5"/>
      <c r="T78" s="8"/>
      <c r="U78" s="5"/>
      <c r="V78" s="8">
        <f>ROUND(SUM(V76:V77),5)</f>
        <v>119</v>
      </c>
      <c r="W78" s="5"/>
      <c r="X78" s="8">
        <f>X77</f>
        <v>119</v>
      </c>
    </row>
    <row r="79" spans="1:24" ht="14.65" outlineLevel="2" x14ac:dyDescent="0.45">
      <c r="A79" s="5"/>
      <c r="B79" s="5" t="s">
        <v>158</v>
      </c>
      <c r="C79" s="5" t="s">
        <v>31</v>
      </c>
      <c r="D79" s="5"/>
      <c r="E79" s="5"/>
      <c r="F79" s="5"/>
      <c r="G79" s="5"/>
      <c r="H79" s="6"/>
      <c r="I79" s="5"/>
      <c r="J79" s="5"/>
      <c r="K79" s="5"/>
      <c r="L79" s="5"/>
      <c r="M79" s="5"/>
      <c r="N79" s="5"/>
      <c r="O79" s="5"/>
      <c r="P79" s="5"/>
      <c r="Q79" s="5"/>
      <c r="R79" s="7"/>
      <c r="S79" s="5"/>
      <c r="T79" s="8"/>
      <c r="U79" s="5"/>
      <c r="V79" s="8"/>
      <c r="W79" s="5"/>
      <c r="X79" s="8"/>
    </row>
    <row r="80" spans="1:24" ht="14.65" outlineLevel="2" x14ac:dyDescent="0.45">
      <c r="A80" s="5"/>
      <c r="B80" s="5"/>
      <c r="C80" s="5"/>
      <c r="D80" s="5"/>
      <c r="E80" s="5"/>
      <c r="F80" s="5" t="s">
        <v>40</v>
      </c>
      <c r="G80" s="5"/>
      <c r="H80" s="6">
        <v>46013</v>
      </c>
      <c r="I80" s="5"/>
      <c r="J80" s="5" t="s">
        <v>68</v>
      </c>
      <c r="K80" s="5"/>
      <c r="L80" s="5"/>
      <c r="M80" s="5"/>
      <c r="N80" s="5" t="s">
        <v>31</v>
      </c>
      <c r="O80" s="5"/>
      <c r="P80" s="5" t="s">
        <v>146</v>
      </c>
      <c r="Q80" s="5"/>
      <c r="R80" s="7">
        <v>1</v>
      </c>
      <c r="S80" s="5"/>
      <c r="T80" s="7">
        <v>92708</v>
      </c>
      <c r="U80" s="5"/>
      <c r="V80" s="8">
        <f>ROUND(IF(ISNUMBER(T80), R80*T80, R80),5)</f>
        <v>92708</v>
      </c>
      <c r="W80" s="5"/>
      <c r="X80" s="8">
        <f t="shared" ref="X80:X85" si="4">ROUND(X79+V80,5)</f>
        <v>92708</v>
      </c>
    </row>
    <row r="81" spans="1:24" ht="14.65" outlineLevel="2" x14ac:dyDescent="0.45">
      <c r="A81" s="5"/>
      <c r="B81" s="5"/>
      <c r="C81" s="5"/>
      <c r="D81" s="5"/>
      <c r="E81" s="5"/>
      <c r="F81" s="5" t="s">
        <v>40</v>
      </c>
      <c r="G81" s="5"/>
      <c r="H81" s="6">
        <v>46101</v>
      </c>
      <c r="I81" s="5"/>
      <c r="J81" s="5" t="s">
        <v>69</v>
      </c>
      <c r="K81" s="5"/>
      <c r="L81" s="5" t="s">
        <v>105</v>
      </c>
      <c r="M81" s="5"/>
      <c r="N81" s="5" t="s">
        <v>31</v>
      </c>
      <c r="O81" s="5"/>
      <c r="P81" s="5" t="s">
        <v>147</v>
      </c>
      <c r="Q81" s="5"/>
      <c r="R81" s="7">
        <v>1</v>
      </c>
      <c r="S81" s="5"/>
      <c r="T81" s="8">
        <v>385</v>
      </c>
      <c r="U81" s="5"/>
      <c r="V81" s="8">
        <f>ROUND(IF(ISNUMBER(T81), R81*T81, R81),5)</f>
        <v>385</v>
      </c>
      <c r="W81" s="5"/>
      <c r="X81" s="8">
        <f t="shared" si="4"/>
        <v>93093</v>
      </c>
    </row>
    <row r="82" spans="1:24" ht="14.65" outlineLevel="2" x14ac:dyDescent="0.45">
      <c r="A82" s="5"/>
      <c r="B82" s="5"/>
      <c r="C82" s="5"/>
      <c r="D82" s="5"/>
      <c r="E82" s="5"/>
      <c r="F82" s="5" t="s">
        <v>40</v>
      </c>
      <c r="G82" s="5"/>
      <c r="H82" s="6">
        <v>46101</v>
      </c>
      <c r="I82" s="5"/>
      <c r="J82" s="5" t="s">
        <v>69</v>
      </c>
      <c r="K82" s="5"/>
      <c r="L82" s="5" t="s">
        <v>106</v>
      </c>
      <c r="M82" s="5"/>
      <c r="N82" s="5" t="s">
        <v>31</v>
      </c>
      <c r="O82" s="5"/>
      <c r="P82" s="5" t="s">
        <v>148</v>
      </c>
      <c r="Q82" s="5"/>
      <c r="R82" s="7">
        <v>1</v>
      </c>
      <c r="S82" s="5"/>
      <c r="T82" s="8">
        <v>14</v>
      </c>
      <c r="U82" s="5"/>
      <c r="V82" s="8">
        <f>ROUND(IF(ISNUMBER(T82), R82*T82, R82),5)</f>
        <v>14</v>
      </c>
      <c r="W82" s="5"/>
      <c r="X82" s="8">
        <f t="shared" si="4"/>
        <v>93107</v>
      </c>
    </row>
    <row r="83" spans="1:24" ht="14.65" outlineLevel="2" x14ac:dyDescent="0.45">
      <c r="A83" s="5"/>
      <c r="B83" s="5"/>
      <c r="C83" s="5"/>
      <c r="D83" s="5"/>
      <c r="E83" s="5"/>
      <c r="F83" s="5" t="s">
        <v>40</v>
      </c>
      <c r="G83" s="5"/>
      <c r="H83" s="6">
        <v>46149</v>
      </c>
      <c r="I83" s="5"/>
      <c r="J83" s="5" t="s">
        <v>70</v>
      </c>
      <c r="K83" s="5"/>
      <c r="L83" s="5" t="s">
        <v>107</v>
      </c>
      <c r="M83" s="5"/>
      <c r="N83" s="5" t="s">
        <v>31</v>
      </c>
      <c r="O83" s="5"/>
      <c r="P83" s="5" t="s">
        <v>149</v>
      </c>
      <c r="Q83" s="5"/>
      <c r="R83" s="7">
        <v>860</v>
      </c>
      <c r="S83" s="5"/>
      <c r="T83" s="8">
        <v>490</v>
      </c>
      <c r="U83" s="5"/>
      <c r="V83" s="8">
        <f>ROUND(IF(ISNUMBER(T83), R83*T83, R83),5)</f>
        <v>421400</v>
      </c>
      <c r="W83" s="5"/>
      <c r="X83" s="8">
        <f t="shared" si="4"/>
        <v>514507</v>
      </c>
    </row>
    <row r="84" spans="1:24" ht="14.65" outlineLevel="2" x14ac:dyDescent="0.45">
      <c r="A84" s="5"/>
      <c r="B84" s="5"/>
      <c r="C84" s="5"/>
      <c r="D84" s="5"/>
      <c r="E84" s="5"/>
      <c r="F84" s="5" t="s">
        <v>40</v>
      </c>
      <c r="G84" s="5"/>
      <c r="H84" s="6">
        <v>46149</v>
      </c>
      <c r="I84" s="5"/>
      <c r="J84" s="5" t="s">
        <v>70</v>
      </c>
      <c r="K84" s="5"/>
      <c r="L84" s="5" t="s">
        <v>108</v>
      </c>
      <c r="M84" s="5"/>
      <c r="N84" s="5" t="s">
        <v>31</v>
      </c>
      <c r="O84" s="5"/>
      <c r="P84" s="5" t="s">
        <v>146</v>
      </c>
      <c r="Q84" s="5"/>
      <c r="R84" s="7">
        <v>1</v>
      </c>
      <c r="S84" s="5"/>
      <c r="T84" s="7">
        <v>-92708</v>
      </c>
      <c r="U84" s="5"/>
      <c r="V84" s="8">
        <f>ROUND(IF(ISNUMBER(T84), R84*T84, R84),5)</f>
        <v>-92708</v>
      </c>
      <c r="W84" s="5"/>
      <c r="X84" s="8">
        <f t="shared" si="4"/>
        <v>421799</v>
      </c>
    </row>
    <row r="85" spans="1:24" ht="15" outlineLevel="2" thickBot="1" x14ac:dyDescent="0.5">
      <c r="A85" s="5"/>
      <c r="B85" s="5"/>
      <c r="C85" s="5"/>
      <c r="D85" s="5"/>
      <c r="E85" s="5"/>
      <c r="F85" s="5" t="s">
        <v>40</v>
      </c>
      <c r="G85" s="5"/>
      <c r="H85" s="6">
        <v>46149</v>
      </c>
      <c r="I85" s="5"/>
      <c r="J85" s="5" t="s">
        <v>70</v>
      </c>
      <c r="K85" s="5"/>
      <c r="L85" s="5" t="s">
        <v>109</v>
      </c>
      <c r="M85" s="5"/>
      <c r="N85" s="5" t="s">
        <v>31</v>
      </c>
      <c r="O85" s="5"/>
      <c r="P85" s="5" t="s">
        <v>150</v>
      </c>
      <c r="Q85" s="5"/>
      <c r="R85" s="9"/>
      <c r="S85" s="5"/>
      <c r="T85" s="11">
        <v>0.1</v>
      </c>
      <c r="U85" s="5"/>
      <c r="V85" s="10">
        <v>42140</v>
      </c>
      <c r="W85" s="5"/>
      <c r="X85" s="10">
        <f t="shared" si="4"/>
        <v>463939</v>
      </c>
    </row>
    <row r="86" spans="1:24" ht="14.65" outlineLevel="1" x14ac:dyDescent="0.45">
      <c r="A86" s="5"/>
      <c r="B86" s="5"/>
      <c r="C86" s="5" t="s">
        <v>32</v>
      </c>
      <c r="D86" s="5"/>
      <c r="E86" s="5"/>
      <c r="F86" s="5"/>
      <c r="G86" s="5"/>
      <c r="H86" s="6"/>
      <c r="I86" s="5"/>
      <c r="J86" s="5"/>
      <c r="K86" s="5"/>
      <c r="L86" s="5"/>
      <c r="M86" s="5"/>
      <c r="N86" s="5"/>
      <c r="O86" s="5"/>
      <c r="P86" s="5"/>
      <c r="Q86" s="5"/>
      <c r="R86" s="7">
        <f>ROUND(SUM(R79:R85),5)</f>
        <v>864</v>
      </c>
      <c r="S86" s="5"/>
      <c r="T86" s="8"/>
      <c r="U86" s="5"/>
      <c r="V86" s="8">
        <f>ROUND(SUM(V79:V85),5)</f>
        <v>463939</v>
      </c>
      <c r="W86" s="5"/>
      <c r="X86" s="8">
        <f>X85</f>
        <v>463939</v>
      </c>
    </row>
    <row r="87" spans="1:24" ht="14.65" outlineLevel="2" x14ac:dyDescent="0.45">
      <c r="A87" s="5"/>
      <c r="B87" s="5" t="s">
        <v>159</v>
      </c>
      <c r="C87" s="5" t="s">
        <v>33</v>
      </c>
      <c r="D87" s="5"/>
      <c r="E87" s="5"/>
      <c r="F87" s="5"/>
      <c r="G87" s="5"/>
      <c r="H87" s="6"/>
      <c r="I87" s="5"/>
      <c r="J87" s="5"/>
      <c r="K87" s="5"/>
      <c r="L87" s="5"/>
      <c r="M87" s="5"/>
      <c r="N87" s="5"/>
      <c r="O87" s="5"/>
      <c r="P87" s="5"/>
      <c r="Q87" s="5"/>
      <c r="R87" s="7"/>
      <c r="S87" s="5"/>
      <c r="T87" s="8"/>
      <c r="U87" s="5"/>
      <c r="V87" s="8"/>
      <c r="W87" s="5"/>
      <c r="X87" s="8"/>
    </row>
    <row r="88" spans="1:24" ht="14.65" outlineLevel="2" x14ac:dyDescent="0.45">
      <c r="A88" s="5"/>
      <c r="B88" s="5"/>
      <c r="C88" s="5"/>
      <c r="D88" s="5"/>
      <c r="E88" s="5"/>
      <c r="F88" s="5" t="s">
        <v>40</v>
      </c>
      <c r="G88" s="5"/>
      <c r="H88" s="6">
        <v>46036</v>
      </c>
      <c r="I88" s="5"/>
      <c r="J88" s="5" t="s">
        <v>71</v>
      </c>
      <c r="K88" s="5"/>
      <c r="L88" s="5" t="s">
        <v>110</v>
      </c>
      <c r="M88" s="5"/>
      <c r="N88" s="5" t="s">
        <v>33</v>
      </c>
      <c r="O88" s="5"/>
      <c r="P88" s="5" t="s">
        <v>151</v>
      </c>
      <c r="Q88" s="5"/>
      <c r="R88" s="7">
        <v>1</v>
      </c>
      <c r="S88" s="5"/>
      <c r="T88" s="8">
        <v>445</v>
      </c>
      <c r="U88" s="5"/>
      <c r="V88" s="8">
        <f>ROUND(IF(ISNUMBER(T88), R88*T88, R88),5)</f>
        <v>445</v>
      </c>
      <c r="W88" s="5"/>
      <c r="X88" s="8">
        <f>ROUND(X87+V88,5)</f>
        <v>445</v>
      </c>
    </row>
    <row r="89" spans="1:24" ht="15" outlineLevel="2" thickBot="1" x14ac:dyDescent="0.5">
      <c r="A89" s="5"/>
      <c r="B89" s="5"/>
      <c r="C89" s="5"/>
      <c r="D89" s="5"/>
      <c r="E89" s="5"/>
      <c r="F89" s="5" t="s">
        <v>40</v>
      </c>
      <c r="G89" s="5"/>
      <c r="H89" s="6">
        <v>46036</v>
      </c>
      <c r="I89" s="5"/>
      <c r="J89" s="5" t="s">
        <v>71</v>
      </c>
      <c r="K89" s="5"/>
      <c r="L89" s="5" t="s">
        <v>80</v>
      </c>
      <c r="M89" s="5"/>
      <c r="N89" s="5" t="s">
        <v>33</v>
      </c>
      <c r="O89" s="5"/>
      <c r="P89" s="5" t="s">
        <v>120</v>
      </c>
      <c r="Q89" s="5"/>
      <c r="R89" s="9">
        <v>1</v>
      </c>
      <c r="S89" s="5"/>
      <c r="T89" s="8">
        <v>0</v>
      </c>
      <c r="U89" s="5"/>
      <c r="V89" s="10">
        <f>ROUND(IF(ISNUMBER(T89), R89*T89, R89),5)</f>
        <v>0</v>
      </c>
      <c r="W89" s="5"/>
      <c r="X89" s="10">
        <f>ROUND(X88+V89,5)</f>
        <v>445</v>
      </c>
    </row>
    <row r="90" spans="1:24" ht="14.65" outlineLevel="1" x14ac:dyDescent="0.45">
      <c r="A90" s="5"/>
      <c r="B90" s="5"/>
      <c r="C90" s="5" t="s">
        <v>34</v>
      </c>
      <c r="D90" s="5"/>
      <c r="E90" s="5"/>
      <c r="F90" s="5"/>
      <c r="G90" s="5"/>
      <c r="H90" s="6"/>
      <c r="I90" s="5"/>
      <c r="J90" s="5"/>
      <c r="K90" s="5"/>
      <c r="L90" s="5"/>
      <c r="M90" s="5"/>
      <c r="N90" s="5"/>
      <c r="O90" s="5"/>
      <c r="P90" s="5"/>
      <c r="Q90" s="5"/>
      <c r="R90" s="7">
        <f>ROUND(SUM(R87:R89),5)</f>
        <v>2</v>
      </c>
      <c r="S90" s="5"/>
      <c r="T90" s="8"/>
      <c r="U90" s="5"/>
      <c r="V90" s="8">
        <f>ROUND(SUM(V87:V89),5)</f>
        <v>445</v>
      </c>
      <c r="W90" s="5"/>
      <c r="X90" s="8">
        <f>X89</f>
        <v>445</v>
      </c>
    </row>
    <row r="91" spans="1:24" ht="14.65" outlineLevel="2" x14ac:dyDescent="0.45">
      <c r="A91" s="5"/>
      <c r="B91" s="5" t="s">
        <v>158</v>
      </c>
      <c r="C91" s="5" t="s">
        <v>35</v>
      </c>
      <c r="D91" s="5"/>
      <c r="E91" s="5"/>
      <c r="F91" s="5"/>
      <c r="G91" s="5"/>
      <c r="H91" s="6"/>
      <c r="I91" s="5"/>
      <c r="J91" s="5"/>
      <c r="K91" s="5"/>
      <c r="L91" s="5"/>
      <c r="M91" s="5"/>
      <c r="N91" s="5"/>
      <c r="O91" s="5"/>
      <c r="P91" s="5"/>
      <c r="Q91" s="5"/>
      <c r="R91" s="7"/>
      <c r="S91" s="5"/>
      <c r="T91" s="8"/>
      <c r="U91" s="5"/>
      <c r="V91" s="8"/>
      <c r="W91" s="5"/>
      <c r="X91" s="8"/>
    </row>
    <row r="92" spans="1:24" ht="14.65" outlineLevel="2" x14ac:dyDescent="0.45">
      <c r="A92" s="5"/>
      <c r="B92" s="5"/>
      <c r="C92" s="5"/>
      <c r="D92" s="5"/>
      <c r="E92" s="5"/>
      <c r="F92" s="5" t="s">
        <v>40</v>
      </c>
      <c r="G92" s="5"/>
      <c r="H92" s="6">
        <v>46029</v>
      </c>
      <c r="I92" s="5"/>
      <c r="J92" s="5" t="s">
        <v>72</v>
      </c>
      <c r="K92" s="5"/>
      <c r="L92" s="5" t="s">
        <v>111</v>
      </c>
      <c r="M92" s="5"/>
      <c r="N92" s="5" t="s">
        <v>35</v>
      </c>
      <c r="O92" s="5"/>
      <c r="P92" s="5" t="s">
        <v>152</v>
      </c>
      <c r="Q92" s="5"/>
      <c r="R92" s="7">
        <v>1</v>
      </c>
      <c r="S92" s="5"/>
      <c r="T92" s="8">
        <v>830</v>
      </c>
      <c r="U92" s="5"/>
      <c r="V92" s="8">
        <f t="shared" ref="V92:V97" si="5">ROUND(IF(ISNUMBER(T92), R92*T92, R92),5)</f>
        <v>830</v>
      </c>
      <c r="W92" s="5"/>
      <c r="X92" s="8">
        <f t="shared" ref="X92:X97" si="6">ROUND(X91+V92,5)</f>
        <v>830</v>
      </c>
    </row>
    <row r="93" spans="1:24" ht="14.65" outlineLevel="2" x14ac:dyDescent="0.45">
      <c r="A93" s="5"/>
      <c r="B93" s="5"/>
      <c r="C93" s="5"/>
      <c r="D93" s="5"/>
      <c r="E93" s="5"/>
      <c r="F93" s="5" t="s">
        <v>40</v>
      </c>
      <c r="G93" s="5"/>
      <c r="H93" s="6">
        <v>46105</v>
      </c>
      <c r="I93" s="5"/>
      <c r="J93" s="5" t="s">
        <v>73</v>
      </c>
      <c r="K93" s="5"/>
      <c r="L93" s="5" t="s">
        <v>77</v>
      </c>
      <c r="M93" s="5"/>
      <c r="N93" s="5" t="s">
        <v>35</v>
      </c>
      <c r="O93" s="5"/>
      <c r="P93" s="5" t="s">
        <v>117</v>
      </c>
      <c r="Q93" s="5"/>
      <c r="R93" s="7">
        <v>1</v>
      </c>
      <c r="S93" s="5"/>
      <c r="T93" s="8">
        <v>649</v>
      </c>
      <c r="U93" s="5"/>
      <c r="V93" s="8">
        <f t="shared" si="5"/>
        <v>649</v>
      </c>
      <c r="W93" s="5"/>
      <c r="X93" s="8">
        <f t="shared" si="6"/>
        <v>1479</v>
      </c>
    </row>
    <row r="94" spans="1:24" ht="14.65" outlineLevel="2" x14ac:dyDescent="0.45">
      <c r="A94" s="5"/>
      <c r="B94" s="5"/>
      <c r="C94" s="5"/>
      <c r="D94" s="5"/>
      <c r="E94" s="5"/>
      <c r="F94" s="5" t="s">
        <v>40</v>
      </c>
      <c r="G94" s="5"/>
      <c r="H94" s="6">
        <v>46105</v>
      </c>
      <c r="I94" s="5"/>
      <c r="J94" s="5" t="s">
        <v>73</v>
      </c>
      <c r="K94" s="5"/>
      <c r="L94" s="5" t="s">
        <v>78</v>
      </c>
      <c r="M94" s="5"/>
      <c r="N94" s="5" t="s">
        <v>35</v>
      </c>
      <c r="O94" s="5"/>
      <c r="P94" s="5" t="s">
        <v>118</v>
      </c>
      <c r="Q94" s="5"/>
      <c r="R94" s="7">
        <v>1</v>
      </c>
      <c r="S94" s="5"/>
      <c r="T94" s="8">
        <v>0</v>
      </c>
      <c r="U94" s="5"/>
      <c r="V94" s="8">
        <f t="shared" si="5"/>
        <v>0</v>
      </c>
      <c r="W94" s="5"/>
      <c r="X94" s="8">
        <f t="shared" si="6"/>
        <v>1479</v>
      </c>
    </row>
    <row r="95" spans="1:24" ht="14.65" outlineLevel="2" x14ac:dyDescent="0.45">
      <c r="A95" s="5"/>
      <c r="B95" s="5"/>
      <c r="C95" s="5"/>
      <c r="D95" s="5"/>
      <c r="E95" s="5"/>
      <c r="F95" s="5" t="s">
        <v>40</v>
      </c>
      <c r="G95" s="5"/>
      <c r="H95" s="6">
        <v>46105</v>
      </c>
      <c r="I95" s="5"/>
      <c r="J95" s="5" t="s">
        <v>73</v>
      </c>
      <c r="K95" s="5"/>
      <c r="L95" s="5" t="s">
        <v>93</v>
      </c>
      <c r="M95" s="5"/>
      <c r="N95" s="5" t="s">
        <v>35</v>
      </c>
      <c r="O95" s="5"/>
      <c r="P95" s="5" t="s">
        <v>134</v>
      </c>
      <c r="Q95" s="5"/>
      <c r="R95" s="7">
        <v>1</v>
      </c>
      <c r="S95" s="5"/>
      <c r="T95" s="8">
        <v>-15</v>
      </c>
      <c r="U95" s="5"/>
      <c r="V95" s="8">
        <f t="shared" si="5"/>
        <v>-15</v>
      </c>
      <c r="W95" s="5"/>
      <c r="X95" s="8">
        <f t="shared" si="6"/>
        <v>1464</v>
      </c>
    </row>
    <row r="96" spans="1:24" ht="14.65" outlineLevel="2" x14ac:dyDescent="0.45">
      <c r="A96" s="5"/>
      <c r="B96" s="5"/>
      <c r="C96" s="5"/>
      <c r="D96" s="5"/>
      <c r="E96" s="5"/>
      <c r="F96" s="5" t="s">
        <v>40</v>
      </c>
      <c r="G96" s="5"/>
      <c r="H96" s="6">
        <v>46122</v>
      </c>
      <c r="I96" s="5"/>
      <c r="J96" s="5" t="s">
        <v>59</v>
      </c>
      <c r="K96" s="5"/>
      <c r="L96" s="5" t="s">
        <v>112</v>
      </c>
      <c r="M96" s="5"/>
      <c r="N96" s="5" t="s">
        <v>35</v>
      </c>
      <c r="O96" s="5"/>
      <c r="P96" s="5" t="s">
        <v>153</v>
      </c>
      <c r="Q96" s="5"/>
      <c r="R96" s="7">
        <v>1</v>
      </c>
      <c r="S96" s="5"/>
      <c r="T96" s="8">
        <v>948</v>
      </c>
      <c r="U96" s="5"/>
      <c r="V96" s="8">
        <f t="shared" si="5"/>
        <v>948</v>
      </c>
      <c r="W96" s="5"/>
      <c r="X96" s="8">
        <f t="shared" si="6"/>
        <v>2412</v>
      </c>
    </row>
    <row r="97" spans="1:24" ht="15" outlineLevel="2" thickBot="1" x14ac:dyDescent="0.5">
      <c r="A97" s="5"/>
      <c r="B97" s="5"/>
      <c r="C97" s="5"/>
      <c r="D97" s="5"/>
      <c r="E97" s="5"/>
      <c r="F97" s="5" t="s">
        <v>40</v>
      </c>
      <c r="G97" s="5"/>
      <c r="H97" s="6">
        <v>46150</v>
      </c>
      <c r="I97" s="5"/>
      <c r="J97" s="5" t="s">
        <v>74</v>
      </c>
      <c r="K97" s="5"/>
      <c r="L97" s="5" t="s">
        <v>113</v>
      </c>
      <c r="M97" s="5"/>
      <c r="N97" s="5" t="s">
        <v>35</v>
      </c>
      <c r="O97" s="5"/>
      <c r="P97" s="5" t="s">
        <v>154</v>
      </c>
      <c r="Q97" s="5"/>
      <c r="R97" s="9">
        <v>1</v>
      </c>
      <c r="S97" s="5"/>
      <c r="T97" s="7">
        <v>1455</v>
      </c>
      <c r="U97" s="5"/>
      <c r="V97" s="10">
        <f t="shared" si="5"/>
        <v>1455</v>
      </c>
      <c r="W97" s="5"/>
      <c r="X97" s="10">
        <f t="shared" si="6"/>
        <v>3867</v>
      </c>
    </row>
    <row r="98" spans="1:24" ht="14.65" outlineLevel="1" x14ac:dyDescent="0.45">
      <c r="A98" s="5"/>
      <c r="B98" s="5"/>
      <c r="C98" s="5" t="s">
        <v>36</v>
      </c>
      <c r="D98" s="5"/>
      <c r="E98" s="5"/>
      <c r="F98" s="5"/>
      <c r="G98" s="5"/>
      <c r="H98" s="6"/>
      <c r="I98" s="5"/>
      <c r="J98" s="5"/>
      <c r="K98" s="5"/>
      <c r="L98" s="5"/>
      <c r="M98" s="5"/>
      <c r="N98" s="5"/>
      <c r="O98" s="5"/>
      <c r="P98" s="5"/>
      <c r="Q98" s="5"/>
      <c r="R98" s="7">
        <f>ROUND(SUM(R91:R97),5)</f>
        <v>6</v>
      </c>
      <c r="S98" s="5"/>
      <c r="T98" s="8"/>
      <c r="U98" s="5"/>
      <c r="V98" s="8">
        <f>ROUND(SUM(V91:V97),5)</f>
        <v>3867</v>
      </c>
      <c r="W98" s="5"/>
      <c r="X98" s="8">
        <f>X97</f>
        <v>3867</v>
      </c>
    </row>
    <row r="99" spans="1:24" ht="14.65" outlineLevel="2" x14ac:dyDescent="0.45">
      <c r="A99" s="5"/>
      <c r="B99" s="5" t="s">
        <v>159</v>
      </c>
      <c r="C99" s="5" t="s">
        <v>37</v>
      </c>
      <c r="D99" s="5"/>
      <c r="E99" s="5"/>
      <c r="F99" s="5"/>
      <c r="G99" s="5"/>
      <c r="H99" s="6"/>
      <c r="I99" s="5"/>
      <c r="J99" s="5"/>
      <c r="K99" s="5"/>
      <c r="L99" s="5"/>
      <c r="M99" s="5"/>
      <c r="N99" s="5"/>
      <c r="O99" s="5"/>
      <c r="P99" s="5"/>
      <c r="Q99" s="5"/>
      <c r="R99" s="7"/>
      <c r="S99" s="5"/>
      <c r="T99" s="8"/>
      <c r="U99" s="5"/>
      <c r="V99" s="8"/>
      <c r="W99" s="5"/>
      <c r="X99" s="8"/>
    </row>
    <row r="100" spans="1:24" ht="14.65" outlineLevel="2" x14ac:dyDescent="0.45">
      <c r="A100" s="5"/>
      <c r="B100" s="5"/>
      <c r="C100" s="5"/>
      <c r="D100" s="5"/>
      <c r="E100" s="5"/>
      <c r="F100" s="5" t="s">
        <v>40</v>
      </c>
      <c r="G100" s="5"/>
      <c r="H100" s="6">
        <v>46119</v>
      </c>
      <c r="I100" s="5"/>
      <c r="J100" s="5" t="s">
        <v>75</v>
      </c>
      <c r="K100" s="5"/>
      <c r="L100" s="5" t="s">
        <v>114</v>
      </c>
      <c r="M100" s="5"/>
      <c r="N100" s="5" t="s">
        <v>37</v>
      </c>
      <c r="O100" s="5"/>
      <c r="P100" s="5" t="s">
        <v>155</v>
      </c>
      <c r="Q100" s="5"/>
      <c r="R100" s="7">
        <v>10</v>
      </c>
      <c r="S100" s="5"/>
      <c r="T100" s="8">
        <v>790</v>
      </c>
      <c r="U100" s="5"/>
      <c r="V100" s="8">
        <f>ROUND(IF(ISNUMBER(T100), R100*T100, R100),5)</f>
        <v>7900</v>
      </c>
      <c r="W100" s="5"/>
      <c r="X100" s="8">
        <f>ROUND(X99+V100,5)</f>
        <v>7900</v>
      </c>
    </row>
    <row r="101" spans="1:24" ht="14.65" outlineLevel="2" x14ac:dyDescent="0.45">
      <c r="A101" s="5"/>
      <c r="B101" s="5"/>
      <c r="C101" s="5"/>
      <c r="D101" s="5"/>
      <c r="E101" s="5"/>
      <c r="F101" s="5" t="s">
        <v>40</v>
      </c>
      <c r="G101" s="5"/>
      <c r="H101" s="6">
        <v>46119</v>
      </c>
      <c r="I101" s="5"/>
      <c r="J101" s="5" t="s">
        <v>75</v>
      </c>
      <c r="K101" s="5"/>
      <c r="L101" s="5" t="s">
        <v>115</v>
      </c>
      <c r="M101" s="5"/>
      <c r="N101" s="5" t="s">
        <v>37</v>
      </c>
      <c r="O101" s="5"/>
      <c r="P101" s="5" t="s">
        <v>156</v>
      </c>
      <c r="Q101" s="5"/>
      <c r="R101" s="7">
        <v>10</v>
      </c>
      <c r="S101" s="5"/>
      <c r="T101" s="8">
        <v>95</v>
      </c>
      <c r="U101" s="5"/>
      <c r="V101" s="8">
        <f>ROUND(IF(ISNUMBER(T101), R101*T101, R101),5)</f>
        <v>950</v>
      </c>
      <c r="W101" s="5"/>
      <c r="X101" s="8">
        <f>ROUND(X100+V101,5)</f>
        <v>8850</v>
      </c>
    </row>
    <row r="102" spans="1:24" ht="15" outlineLevel="2" thickBot="1" x14ac:dyDescent="0.5">
      <c r="A102" s="5"/>
      <c r="B102" s="5"/>
      <c r="C102" s="5"/>
      <c r="D102" s="5"/>
      <c r="E102" s="5"/>
      <c r="F102" s="5" t="s">
        <v>40</v>
      </c>
      <c r="G102" s="5"/>
      <c r="H102" s="6">
        <v>46119</v>
      </c>
      <c r="I102" s="5"/>
      <c r="J102" s="5" t="s">
        <v>75</v>
      </c>
      <c r="K102" s="5"/>
      <c r="L102" s="5" t="s">
        <v>80</v>
      </c>
      <c r="M102" s="5"/>
      <c r="N102" s="5" t="s">
        <v>37</v>
      </c>
      <c r="O102" s="5"/>
      <c r="P102" s="5" t="s">
        <v>120</v>
      </c>
      <c r="Q102" s="5"/>
      <c r="R102" s="7">
        <v>10</v>
      </c>
      <c r="S102" s="5"/>
      <c r="T102" s="8">
        <v>0</v>
      </c>
      <c r="U102" s="5"/>
      <c r="V102" s="8">
        <f>ROUND(IF(ISNUMBER(T102), R102*T102, R102),5)</f>
        <v>0</v>
      </c>
      <c r="W102" s="5"/>
      <c r="X102" s="8">
        <f>ROUND(X101+V102,5)</f>
        <v>8850</v>
      </c>
    </row>
    <row r="103" spans="1:24" ht="15" outlineLevel="1" thickBot="1" x14ac:dyDescent="0.5">
      <c r="A103" s="5"/>
      <c r="B103" s="5" t="s">
        <v>159</v>
      </c>
      <c r="C103" s="5" t="s">
        <v>38</v>
      </c>
      <c r="D103" s="5"/>
      <c r="E103" s="5"/>
      <c r="F103" s="5"/>
      <c r="G103" s="5"/>
      <c r="H103" s="6"/>
      <c r="I103" s="5"/>
      <c r="J103" s="5"/>
      <c r="K103" s="5"/>
      <c r="L103" s="5"/>
      <c r="M103" s="5"/>
      <c r="N103" s="5"/>
      <c r="O103" s="5"/>
      <c r="P103" s="5"/>
      <c r="Q103" s="5"/>
      <c r="R103" s="12">
        <f>ROUND(SUM(R99:R102),5)</f>
        <v>30</v>
      </c>
      <c r="S103" s="5"/>
      <c r="T103" s="8"/>
      <c r="U103" s="5"/>
      <c r="V103" s="13">
        <f>ROUND(SUM(V99:V102),5)</f>
        <v>8850</v>
      </c>
      <c r="W103" s="5"/>
      <c r="X103" s="13">
        <f>X102</f>
        <v>8850</v>
      </c>
    </row>
    <row r="104" spans="1:24" s="16" customFormat="1" ht="14.65" thickBot="1" x14ac:dyDescent="0.45">
      <c r="A104" s="5" t="s">
        <v>39</v>
      </c>
      <c r="B104" s="5"/>
      <c r="C104" s="5"/>
      <c r="D104" s="5"/>
      <c r="E104" s="5"/>
      <c r="F104" s="5"/>
      <c r="G104" s="5"/>
      <c r="H104" s="6"/>
      <c r="I104" s="5"/>
      <c r="J104" s="5"/>
      <c r="K104" s="5"/>
      <c r="L104" s="5"/>
      <c r="M104" s="5"/>
      <c r="N104" s="5"/>
      <c r="O104" s="5"/>
      <c r="P104" s="5"/>
      <c r="Q104" s="5"/>
      <c r="R104" s="14">
        <f>ROUND(R7+R13+R16+R56+R62+R70+R75+R78+R86+R90+R98+R103,5)</f>
        <v>980</v>
      </c>
      <c r="S104" s="5"/>
      <c r="T104" s="8"/>
      <c r="U104" s="5"/>
      <c r="V104" s="15">
        <f>ROUND(V7+V13+V16+V56+V62+V70+V75+V78+V86+V90+V98+V103,5)</f>
        <v>540673</v>
      </c>
      <c r="W104" s="5"/>
      <c r="X104" s="15">
        <f>ROUND(X7+X13+X16+X56+X62+X70+X75+X78+X86+X90+X98+X103,5)</f>
        <v>540673</v>
      </c>
    </row>
    <row r="105" spans="1:24" ht="14.65" thickTop="1" x14ac:dyDescent="0.45"/>
  </sheetData>
  <autoFilter ref="F4:X104" xr:uid="{E7FBC1A6-6E11-4CC3-9B8D-41DE4DD6ECAF}">
    <filterColumn colId="1" hiddenButton="1"/>
    <filterColumn colId="3" hiddenButton="1"/>
    <filterColumn colId="5" hiddenButton="1"/>
    <filterColumn colId="7" hiddenButton="1"/>
    <filterColumn colId="9" hiddenButton="1"/>
    <filterColumn colId="11" hiddenButton="1"/>
    <filterColumn colId="13" hiddenButton="1"/>
    <filterColumn colId="15" hiddenButton="1"/>
    <filterColumn colId="17" hiddenButton="1"/>
  </autoFilter>
  <pageMargins left="0.7" right="0.7" top="0.75" bottom="0.75" header="0.1" footer="0.3"/>
  <pageSetup paperSize="9" orientation="portrait" r:id="rId1"/>
  <headerFooter>
    <oddFooter>&amp;R&amp;"Century Gothic,Regular"&amp;11 Page &amp;P of &amp;N</oddFooter>
  </headerFooter>
  <drawing r:id="rId2"/>
  <legacyDrawing r:id="rId3"/>
  <controls>
    <mc:AlternateContent xmlns:mc="http://schemas.openxmlformats.org/markup-compatibility/2006">
      <mc:Choice Requires="x14">
        <control shapeId="1025" r:id="rId4" name="FILT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714375</xdr:colOff>
                <xdr:row>1</xdr:row>
                <xdr:rowOff>9525</xdr:rowOff>
              </to>
            </anchor>
          </controlPr>
        </control>
      </mc:Choice>
      <mc:Fallback>
        <control shapeId="1025" r:id="rId4" name="FILTER"/>
      </mc:Fallback>
    </mc:AlternateContent>
    <mc:AlternateContent xmlns:mc="http://schemas.openxmlformats.org/markup-compatibility/2006">
      <mc:Choice Requires="x14">
        <control shapeId="1026" r:id="rId6" name="HEAD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714375</xdr:colOff>
                <xdr:row>1</xdr:row>
                <xdr:rowOff>9525</xdr:rowOff>
              </to>
            </anchor>
          </controlPr>
        </control>
      </mc:Choice>
      <mc:Fallback>
        <control shapeId="1026" r:id="rId6" name="HEAD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 by customers</vt:lpstr>
      <vt:lpstr>'Sales by customers'!Print_Titles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Sambathvichea Thonn</cp:lastModifiedBy>
  <dcterms:created xsi:type="dcterms:W3CDTF">2026-05-25T09:33:55Z</dcterms:created>
  <dcterms:modified xsi:type="dcterms:W3CDTF">2026-05-26T07:39:01Z</dcterms:modified>
</cp:coreProperties>
</file>